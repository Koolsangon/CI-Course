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 전문역량개발팀\2026\10. CI 과정\01. 시뮬레이션 검토\"/>
    </mc:Choice>
  </mc:AlternateContent>
  <xr:revisionPtr revIDLastSave="0" documentId="8_{8334691C-C2A7-4464-BF6B-6FC1A76049F9}" xr6:coauthVersionLast="47" xr6:coauthVersionMax="47" xr10:uidLastSave="{00000000-0000-0000-0000-000000000000}"/>
  <bookViews>
    <workbookView xWindow="-120" yWindow="-120" windowWidth="27180" windowHeight="18240" activeTab="1" xr2:uid="{E2FFB804-A4D4-4FE8-802A-1F5ED4300E89}"/>
  </bookViews>
  <sheets>
    <sheet name="0.일정" sheetId="19" r:id="rId1"/>
    <sheet name="1.Lesson Plan_작성용" sheetId="20" r:id="rId2"/>
    <sheet name="자료" sheetId="21" r:id="rId3"/>
    <sheet name="Lesson Plan_예시" sheetId="14" r:id="rId4"/>
    <sheet name="예시_오토" sheetId="15" r:id="rId5"/>
    <sheet name="참고.교재영상목록" sheetId="18" r:id="rId6"/>
    <sheet name="주요소통" sheetId="22" r:id="rId7"/>
    <sheet name="참고.영상" sheetId="13" state="hidden" r:id="rId8"/>
    <sheet name="과정및개요 (2)" sheetId="6" state="hidden" r:id="rId9"/>
    <sheet name="1.Lesson Plan (2)" sheetId="11" state="hidden" r:id="rId10"/>
  </sheets>
  <externalReferences>
    <externalReference r:id="rId11"/>
    <externalReference r:id="rId12"/>
    <externalReference r:id="rId13"/>
    <externalReference r:id="rId14"/>
  </externalReferences>
  <definedNames>
    <definedName name="_xlnm._FilterDatabase" localSheetId="9" hidden="1">'1.Lesson Plan (2)'!$B$3:$J$9</definedName>
    <definedName name="_xlnm._FilterDatabase" localSheetId="1" hidden="1">'1.Lesson Plan_작성용'!$B$3:$J$24</definedName>
    <definedName name="_xlnm._FilterDatabase" localSheetId="3" hidden="1">'Lesson Plan_예시'!$B$3:$J$18</definedName>
    <definedName name="_xlnm._FilterDatabase" localSheetId="4" hidden="1">예시_오토!$B$3:$J$19</definedName>
    <definedName name="_xlnm._FilterDatabase" localSheetId="5" hidden="1">참고.교재영상목록!$B$4:$J$11</definedName>
    <definedName name="E">[1]박스기준!$C$11:$C$12</definedName>
    <definedName name="_xlnm.Print_Area" localSheetId="9">'1.Lesson Plan (2)'!$B:$J</definedName>
    <definedName name="_xlnm.Print_Area" localSheetId="1">'1.Lesson Plan_작성용'!$B:$J</definedName>
    <definedName name="_xlnm.Print_Area" localSheetId="3">'Lesson Plan_예시'!$B:$J</definedName>
    <definedName name="_xlnm.Print_Area" localSheetId="8">'과정및개요 (2)'!$B:$K</definedName>
    <definedName name="_xlnm.Print_Area" localSheetId="4">예시_오토!$B:$J</definedName>
    <definedName name="_xlnm.Print_Area" localSheetId="5">참고.교재영상목록!$B:$J</definedName>
    <definedName name="_xlnm.Print_Titles" localSheetId="9">'1.Lesson Plan (2)'!$1:$3</definedName>
    <definedName name="_xlnm.Print_Titles" localSheetId="1">'1.Lesson Plan_작성용'!$1:$3</definedName>
    <definedName name="_xlnm.Print_Titles" localSheetId="3">'Lesson Plan_예시'!$1:$3</definedName>
    <definedName name="_xlnm.Print_Titles" localSheetId="4">예시_오토!$1:$3</definedName>
    <definedName name="_xlnm.Print_Titles" localSheetId="5">참고.교재영상목록!$2:$4</definedName>
    <definedName name="REF_작업파일">'[2]Step 1-2. 과정명 도출'!#REF!</definedName>
    <definedName name="구분">'[2]Step 1-2. 과정명 도출'!#REF!</definedName>
    <definedName name="권수찬C">'[2]Step 1-2. 과정명 도출'!#REF!</definedName>
    <definedName name="기존">[3]박스기준!$C$11:$C$12</definedName>
    <definedName name="김승학님">'[2]Step 1-2. 과정명 도출'!#REF!</definedName>
    <definedName name="모든직군">OFFSET('[4]7. 체계(기준)'!$I$3,0,0,COUNTA('[4]7. 체계(기준)'!$I$3:$I$1048576))</definedName>
    <definedName name="모든직무">OFFSET('[4]7. 체계(기준)'!$W$1,,,COUNTA('[4]7. 체계(기준)'!$W:$W),1)</definedName>
    <definedName name="모든직종">OFFSET('[4]7. 체계(기준)'!$V$1,,,COUNTA('[4]7. 체계(기준)'!$V:$V),1)</definedName>
    <definedName name="사내">'[2]Step 1-2. 과정명 도출'!#REF!</definedName>
    <definedName name="사외">'[2]Step 1-2. 과정명 도출'!#REF!</definedName>
    <definedName name="서베이_윤정민C">'[2]Step 1-2. 과정명 도출'!#REF!</definedName>
    <definedName name="전진님">'[2]Step 1-2. 과정명 도출'!#REF!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F3" authorId="0" shapeId="0" xr:uid="{872621B9-432F-4F33-B1DE-4BA9C70D3C8E}">
      <text>
        <r>
          <rPr>
            <b/>
            <sz val="9"/>
            <color indexed="81"/>
            <rFont val="돋움"/>
            <family val="3"/>
            <charset val="129"/>
          </rPr>
          <t>교재파일</t>
        </r>
        <r>
          <rPr>
            <b/>
            <sz val="9"/>
            <color indexed="81"/>
            <rFont val="Tahoma"/>
            <family val="2"/>
          </rPr>
          <t>(PPT,PDF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동영상</t>
        </r>
      </text>
    </comment>
    <comment ref="H3" authorId="0" shapeId="0" xr:uid="{F6B7B625-736D-4529-995A-B069F18FC6CC}">
      <text>
        <r>
          <rPr>
            <b/>
            <sz val="9"/>
            <color indexed="81"/>
            <rFont val="돋움"/>
            <family val="3"/>
            <charset val="129"/>
          </rPr>
          <t>강사강의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자기학습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F3" authorId="0" shapeId="0" xr:uid="{E7E3060C-5E55-4C9F-B92C-8F7B0B96AC7F}">
      <text>
        <r>
          <rPr>
            <b/>
            <sz val="9"/>
            <color indexed="81"/>
            <rFont val="돋움"/>
            <family val="3"/>
            <charset val="129"/>
          </rPr>
          <t>교재파일</t>
        </r>
        <r>
          <rPr>
            <b/>
            <sz val="9"/>
            <color indexed="81"/>
            <rFont val="Tahoma"/>
            <family val="2"/>
          </rPr>
          <t>(PPT,PDF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동영상</t>
        </r>
      </text>
    </comment>
    <comment ref="H3" authorId="0" shapeId="0" xr:uid="{65FC81E0-66E5-4C9E-9F5F-1D33FD5C101B}">
      <text>
        <r>
          <rPr>
            <b/>
            <sz val="9"/>
            <color indexed="81"/>
            <rFont val="돋움"/>
            <family val="3"/>
            <charset val="129"/>
          </rPr>
          <t>강사강의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자기학습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F3" authorId="0" shapeId="0" xr:uid="{182E80BA-0850-45CF-B511-AAC1D739B524}">
      <text>
        <r>
          <rPr>
            <b/>
            <sz val="9"/>
            <color indexed="81"/>
            <rFont val="돋움"/>
            <family val="3"/>
            <charset val="129"/>
          </rPr>
          <t>교재파일</t>
        </r>
        <r>
          <rPr>
            <b/>
            <sz val="9"/>
            <color indexed="81"/>
            <rFont val="Tahoma"/>
            <family val="2"/>
          </rPr>
          <t>(PPT,PDF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동영상</t>
        </r>
      </text>
    </comment>
    <comment ref="H3" authorId="0" shapeId="0" xr:uid="{B7E431C9-A414-4FEE-9B2C-650F3FC490B9}">
      <text>
        <r>
          <rPr>
            <b/>
            <sz val="9"/>
            <color indexed="81"/>
            <rFont val="돋움"/>
            <family val="3"/>
            <charset val="129"/>
          </rPr>
          <t>강사강의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자기학습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F3" authorId="0" shapeId="0" xr:uid="{17768C81-565B-4667-A077-6B41714B6202}">
      <text>
        <r>
          <rPr>
            <b/>
            <sz val="9"/>
            <color indexed="81"/>
            <rFont val="돋움"/>
            <family val="3"/>
            <charset val="129"/>
          </rPr>
          <t>교재파일</t>
        </r>
        <r>
          <rPr>
            <b/>
            <sz val="9"/>
            <color indexed="81"/>
            <rFont val="Tahoma"/>
            <family val="2"/>
          </rPr>
          <t>(PPT,PDF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동영상</t>
        </r>
      </text>
    </comment>
    <comment ref="H3" authorId="0" shapeId="0" xr:uid="{D8E46751-4144-4CDA-AAED-55DAACC935B9}">
      <text>
        <r>
          <rPr>
            <b/>
            <sz val="9"/>
            <color indexed="81"/>
            <rFont val="돋움"/>
            <family val="3"/>
            <charset val="129"/>
          </rPr>
          <t>강사강의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자기학습</t>
        </r>
      </text>
    </comment>
  </commentList>
</comments>
</file>

<file path=xl/sharedStrings.xml><?xml version="1.0" encoding="utf-8"?>
<sst xmlns="http://schemas.openxmlformats.org/spreadsheetml/2006/main" count="1083" uniqueCount="616">
  <si>
    <t>소속</t>
  </si>
  <si>
    <t>김종재</t>
  </si>
  <si>
    <t>회계관리팀</t>
  </si>
  <si>
    <t>원가회계의 이해 및 수익성 변동요인 분석</t>
    <phoneticPr fontId="2" type="noConversion"/>
  </si>
  <si>
    <t>CFO (회계담당)</t>
    <phoneticPr fontId="2" type="noConversion"/>
  </si>
  <si>
    <t>과정명</t>
    <phoneticPr fontId="2" type="noConversion"/>
  </si>
  <si>
    <t xml:space="preserve">Finance on LGD </t>
    <phoneticPr fontId="2" type="noConversion"/>
  </si>
  <si>
    <t>이찬희</t>
    <phoneticPr fontId="2" type="noConversion"/>
  </si>
  <si>
    <t>원가관리팀</t>
    <phoneticPr fontId="2" type="noConversion"/>
  </si>
  <si>
    <t>CFO (경영관리담당)</t>
    <phoneticPr fontId="2" type="noConversion"/>
  </si>
  <si>
    <t>미정</t>
    <phoneticPr fontId="2" type="noConversion"/>
  </si>
  <si>
    <t>No.</t>
    <phoneticPr fontId="2" type="noConversion"/>
  </si>
  <si>
    <t>나만 몰랐던 원가 시즌1. 원가의 이해</t>
    <phoneticPr fontId="2" type="noConversion"/>
  </si>
  <si>
    <t>손위석</t>
    <phoneticPr fontId="2" type="noConversion"/>
  </si>
  <si>
    <t>중국경영관리실</t>
    <phoneticPr fontId="2" type="noConversion"/>
  </si>
  <si>
    <t>나만 몰랐던 원가 시즌2. 원가에 영향을 미치는 Factor</t>
    <phoneticPr fontId="2" type="noConversion"/>
  </si>
  <si>
    <t>김명선</t>
    <phoneticPr fontId="2" type="noConversion"/>
  </si>
  <si>
    <t>책임</t>
    <phoneticPr fontId="2" type="noConversion"/>
  </si>
  <si>
    <t>중형 경영분석팀</t>
    <phoneticPr fontId="2" type="noConversion"/>
  </si>
  <si>
    <t>CFO (중국경영관리실)</t>
    <phoneticPr fontId="2" type="noConversion"/>
  </si>
  <si>
    <t>실장</t>
    <phoneticPr fontId="2" type="noConversion"/>
  </si>
  <si>
    <t>퇴직</t>
    <phoneticPr fontId="2" type="noConversion"/>
  </si>
  <si>
    <t>유형</t>
    <phoneticPr fontId="2" type="noConversion"/>
  </si>
  <si>
    <t>시간</t>
    <phoneticPr fontId="2" type="noConversion"/>
  </si>
  <si>
    <t>vc</t>
    <phoneticPr fontId="2" type="noConversion"/>
  </si>
  <si>
    <t>집합</t>
    <phoneticPr fontId="2" type="noConversion"/>
  </si>
  <si>
    <t>?</t>
    <phoneticPr fontId="2" type="noConversion"/>
  </si>
  <si>
    <t>대상</t>
    <phoneticPr fontId="2" type="noConversion"/>
  </si>
  <si>
    <t>전사원</t>
    <phoneticPr fontId="2" type="noConversion"/>
  </si>
  <si>
    <t>리더</t>
    <phoneticPr fontId="2" type="noConversion"/>
  </si>
  <si>
    <t>재경/신입</t>
    <phoneticPr fontId="2" type="noConversion"/>
  </si>
  <si>
    <t>재경/3년↑</t>
    <phoneticPr fontId="2" type="noConversion"/>
  </si>
  <si>
    <t>재경/2년↓</t>
    <phoneticPr fontId="2" type="noConversion"/>
  </si>
  <si>
    <t>학습목표</t>
    <phoneticPr fontId="8" type="noConversion"/>
  </si>
  <si>
    <t>Module /과목 명</t>
    <phoneticPr fontId="8" type="noConversion"/>
  </si>
  <si>
    <t>Lesson /항목</t>
    <phoneticPr fontId="8" type="noConversion"/>
  </si>
  <si>
    <t>세부 내용</t>
    <phoneticPr fontId="8" type="noConversion"/>
  </si>
  <si>
    <t>교수법</t>
  </si>
  <si>
    <t>비고</t>
    <phoneticPr fontId="8" type="noConversion"/>
  </si>
  <si>
    <t>기획관리직군 재무/원가 관리 입문 (Step1)</t>
    <phoneticPr fontId="2" type="noConversion"/>
  </si>
  <si>
    <t>'22.09월 과정개발 
 최근 '24.11월 차수 운영 -&gt; 해당 영상 이러닝 과정으로 제작</t>
    <phoneticPr fontId="2" type="noConversion"/>
  </si>
  <si>
    <t>없음</t>
  </si>
  <si>
    <t>. 영상 업데이트 필요 여부</t>
    <phoneticPr fontId="2" type="noConversion"/>
  </si>
  <si>
    <t>e</t>
    <phoneticPr fontId="2" type="noConversion"/>
  </si>
  <si>
    <t>강사</t>
    <phoneticPr fontId="2" type="noConversion"/>
  </si>
  <si>
    <t>. 매년 1차수 vc 운영, 해당 영상 이러닝 제작 &amp; 정기 이러닝으로 제공에
  대한 의견</t>
    <phoneticPr fontId="2" type="noConversion"/>
  </si>
  <si>
    <t>. '25년 사무직 전사원 대상 이러닝 운영시 예상 이슈 (기 이수자 제외)</t>
    <phoneticPr fontId="2" type="noConversion"/>
  </si>
  <si>
    <t>. 연 2회 집합교육 운영 혹은 이러닝 제작/운영에 대한 의견</t>
    <phoneticPr fontId="2" type="noConversion"/>
  </si>
  <si>
    <t>. 과정 개발 일정/계획</t>
    <phoneticPr fontId="2" type="noConversion"/>
  </si>
  <si>
    <t>'23.5월 과정개발/리더 대상 실시 (616명)
 해당 영상 이러닝 과정 제작 후 감독자/FSE 대상 실시</t>
    <phoneticPr fontId="2" type="noConversion"/>
  </si>
  <si>
    <t>. '25년 vc 차수 운영, 해당 영상 이러닝 제작 후 감독자/FSE 대상 실시에
  대한 의견</t>
    <phoneticPr fontId="2" type="noConversion"/>
  </si>
  <si>
    <t>검토/의견 요청 사항 ↓</t>
    <phoneticPr fontId="2" type="noConversion"/>
  </si>
  <si>
    <t>. 강사 정보 주석 수정 후 지속 활용 (내용 변경 사항 없음)</t>
    <phoneticPr fontId="2" type="noConversion"/>
  </si>
  <si>
    <t>. 과정 폐지/미 사용 (내용 변경 사항이 많고, '원가회계의 이해 및 수익성 변동요인 분석' 과정 내용과 중복)</t>
    <phoneticPr fontId="2" type="noConversion"/>
  </si>
  <si>
    <t>. 니즈 있는 조직/직군 단위 제공</t>
    <phoneticPr fontId="2" type="noConversion"/>
  </si>
  <si>
    <t>. 집합교육으로 반기1회 수요 확인 후 개설 (3hr 내외)</t>
    <phoneticPr fontId="2" type="noConversion"/>
  </si>
  <si>
    <t>. 전사 단위 과정 개발/개설 하지 않음 (내용이 너무 실무적이고 대상 인원이 적음, 학습G 활용으로 대체)</t>
    <phoneticPr fontId="2" type="noConversion"/>
  </si>
  <si>
    <t>. CI 과정 신규 개발은 CCO 조직에서 CI 방향 &amp; BP 공유 중심으로 구성, 실행하는 것이 좋겠음</t>
    <phoneticPr fontId="2" type="noConversion"/>
  </si>
  <si>
    <t>의견 수렴 결과 ↓ (4/29, 경영분석/원가관리/전문역량개발 회의)</t>
    <phoneticPr fontId="2" type="noConversion"/>
  </si>
  <si>
    <t>의견 수렴 결과 ↓ 
(4/29, 경영분석/원가관리/전문역량개발 회의)</t>
    <phoneticPr fontId="2" type="noConversion"/>
  </si>
  <si>
    <t>과정 폐지/미 사용 (내용 변경 사항이 많고, '원가회계의 이해 및 수익성 변동요인 분석' 과정 내용과 중복)</t>
    <phoneticPr fontId="2" type="noConversion"/>
  </si>
  <si>
    <t>* CI 과정 신규 개발은 CCO 조직에서 CI 방향 &amp; BP 공유 중심으로 구성, 실행하는 방향 제안</t>
    <phoneticPr fontId="2" type="noConversion"/>
  </si>
  <si>
    <t>강사 정보 주석 수정 후 지속 활용 (손위석 실장)
 '00.6월 개발</t>
    <phoneticPr fontId="2" type="noConversion"/>
  </si>
  <si>
    <t>'25.4월 영마 대상 1차수 운영 중 (102명)
 '24.12월 개발</t>
    <phoneticPr fontId="2" type="noConversion"/>
  </si>
  <si>
    <t>'25 상반기 집합교육 실시 (니즈 파악 후 반기 1회 실시)
 '25.03월 개발</t>
    <phoneticPr fontId="2" type="noConversion"/>
  </si>
  <si>
    <t>가칭) 재무/원가 Level 2</t>
    <phoneticPr fontId="2" type="noConversion"/>
  </si>
  <si>
    <t>가칭) 재무/원가 Level 3</t>
    <phoneticPr fontId="2" type="noConversion"/>
  </si>
  <si>
    <t>전사 단위 과정 개발/개설 하지 않음 
(내용이 너무 실무적이고 대상 인원이 적음, 학습G 활용으로 대체)</t>
    <phoneticPr fontId="2" type="noConversion"/>
  </si>
  <si>
    <t>과정</t>
    <phoneticPr fontId="8" type="noConversion"/>
  </si>
  <si>
    <t>1. 개발 원가관리의 정의</t>
    <phoneticPr fontId="8" type="noConversion"/>
  </si>
  <si>
    <t>2. 개발 원가관리의 중요성</t>
    <phoneticPr fontId="2" type="noConversion"/>
  </si>
  <si>
    <t>1. 개발 원가관리의 정의</t>
    <phoneticPr fontId="2" type="noConversion"/>
  </si>
  <si>
    <t>강의</t>
  </si>
  <si>
    <t>강의</t>
    <phoneticPr fontId="2" type="noConversion"/>
  </si>
  <si>
    <t>슬라이드</t>
  </si>
  <si>
    <t>슬라이드</t>
    <phoneticPr fontId="2" type="noConversion"/>
  </si>
  <si>
    <t>보안내용</t>
    <phoneticPr fontId="8" type="noConversion"/>
  </si>
  <si>
    <t>1. 양산 후에는 설계 변경을 통한 원가절감이 어렵다.</t>
    <phoneticPr fontId="2" type="noConversion"/>
  </si>
  <si>
    <t>2. 재료비 외의 원가는 기본적으로 상승한다.</t>
    <phoneticPr fontId="2" type="noConversion"/>
  </si>
  <si>
    <t>3. 구매단가 인하로는 판가인하를 Cover하지 못한다.</t>
    <phoneticPr fontId="2" type="noConversion"/>
  </si>
  <si>
    <t>4. 연구~설계 단계에서 원가의 90% 이상이 결정 된다.</t>
    <phoneticPr fontId="2" type="noConversion"/>
  </si>
  <si>
    <t>Quiz</t>
  </si>
  <si>
    <t>Quiz</t>
    <phoneticPr fontId="2" type="noConversion"/>
  </si>
  <si>
    <t>Wrap up</t>
    <phoneticPr fontId="2" type="noConversion"/>
  </si>
  <si>
    <t>없음</t>
    <phoneticPr fontId="2" type="noConversion"/>
  </si>
  <si>
    <r>
      <t>시간</t>
    </r>
    <r>
      <rPr>
        <sz val="10"/>
        <rFont val="LG스마트체2.0 Regular"/>
        <family val="3"/>
        <charset val="129"/>
      </rPr>
      <t>(m)</t>
    </r>
    <phoneticPr fontId="8" type="noConversion"/>
  </si>
  <si>
    <r>
      <t xml:space="preserve">매체 </t>
    </r>
    <r>
      <rPr>
        <sz val="10"/>
        <rFont val="LG스마트체2.0 Regular"/>
        <family val="3"/>
        <charset val="129"/>
      </rPr>
      <t>(수량)</t>
    </r>
    <phoneticPr fontId="2" type="noConversion"/>
  </si>
  <si>
    <t>1. 원가 구조와 주요 Factor</t>
    <phoneticPr fontId="2" type="noConversion"/>
  </si>
  <si>
    <t>2. 원가 개선 사례</t>
    <phoneticPr fontId="2" type="noConversion"/>
  </si>
  <si>
    <t>0. 원가 구조와 주요 Factor</t>
    <phoneticPr fontId="2" type="noConversion"/>
  </si>
  <si>
    <t>1. 재료비 : 설계 CI 에 좌우, 주자재 및 부자재로 구분하여 모델별로 산출</t>
    <phoneticPr fontId="2" type="noConversion"/>
  </si>
  <si>
    <t>2. 가공비 : 제품 제조를 위해 투입 되는 [인건비 + 감가상각비 + 경비] 를 의미</t>
    <phoneticPr fontId="2" type="noConversion"/>
  </si>
  <si>
    <t>3. 수율 : 투입대비 최종 완성된 양품의 비율</t>
    <phoneticPr fontId="2" type="noConversion"/>
  </si>
  <si>
    <t>4. R&amp;D 비용 : 정의, 연구비 및 개발비 규모, 배부 기준, 개발비 자산화</t>
    <phoneticPr fontId="2" type="noConversion"/>
  </si>
  <si>
    <t>5. 판가/물량 : 판가와 물량이 손익에 미치는 영향</t>
    <phoneticPr fontId="2" type="noConversion"/>
  </si>
  <si>
    <t>1. 사례 I : 238W Neo III 사례 및 경영성과</t>
    <phoneticPr fontId="2" type="noConversion"/>
  </si>
  <si>
    <t>2. 사례 II  : 세계 최초 NBPC FHD Oxide 4Mask 제품 개발 및 경영성과</t>
    <phoneticPr fontId="2" type="noConversion"/>
  </si>
  <si>
    <t>R&amp;D 원가의 이해 및 활용</t>
    <phoneticPr fontId="8" type="noConversion"/>
  </si>
  <si>
    <t>M3.
개발 모델 수익성
- COP 산출 -
(50분)</t>
    <phoneticPr fontId="10" type="noConversion"/>
  </si>
  <si>
    <t>1. 개념</t>
    <phoneticPr fontId="2" type="noConversion"/>
  </si>
  <si>
    <t>2. COP 구조 및 원가 Factor 주관 부서</t>
  </si>
  <si>
    <t>3. COP 산출</t>
    <phoneticPr fontId="2" type="noConversion"/>
  </si>
  <si>
    <t>4. Output</t>
  </si>
  <si>
    <t xml:space="preserve">1. 개발모델 수익성 정의/ 검토시점/ 역할/ 전제사항/ Output </t>
    <phoneticPr fontId="2" type="noConversion"/>
  </si>
  <si>
    <t>1. 재료비 : 소요 재료비 산식</t>
  </si>
  <si>
    <t>2. 가공비 : 구조, 산출 방식 (공장 기준 -&gt; 모델 특성 : Mask -&gt; 수율)</t>
  </si>
  <si>
    <t>3. 개발비/운반비 : 산출 방식</t>
  </si>
  <si>
    <t>4. 기타 판관비 : 산출 방식</t>
  </si>
  <si>
    <t>1. COP 구조 및 항목별 주관부서</t>
    <phoneticPr fontId="2" type="noConversion"/>
  </si>
  <si>
    <t>1. Output (예시표의 영업이익(율)/ 상각비/ 재료비/ 수율/ Biz. 지속 여부)</t>
    <phoneticPr fontId="2" type="noConversion"/>
  </si>
  <si>
    <t>Quiz (&amp; Summary)</t>
    <phoneticPr fontId="2" type="noConversion"/>
  </si>
  <si>
    <t>1. Q1) Loading 변화</t>
    <phoneticPr fontId="2" type="noConversion"/>
  </si>
  <si>
    <t>2. Q2) 인건비 변화</t>
    <phoneticPr fontId="2" type="noConversion"/>
  </si>
  <si>
    <t>3. Q3) 한계이익률 변화</t>
    <phoneticPr fontId="2" type="noConversion"/>
  </si>
  <si>
    <t>4. Q4) 재료비 및 수율 변화</t>
    <phoneticPr fontId="2" type="noConversion"/>
  </si>
  <si>
    <t>5. Q5) 면취수 및 Mask 변화</t>
    <phoneticPr fontId="2" type="noConversion"/>
  </si>
  <si>
    <t>6. Q6) 모듈 T/Time 및 개발비 변화</t>
    <phoneticPr fontId="2" type="noConversion"/>
  </si>
  <si>
    <t>학습목표 Reflection &amp; Summary</t>
    <phoneticPr fontId="2" type="noConversion"/>
  </si>
  <si>
    <t>1. 실습 안내</t>
    <phoneticPr fontId="2" type="noConversion"/>
  </si>
  <si>
    <t>2. 효과 분석 Simulation 실습</t>
    <phoneticPr fontId="2" type="noConversion"/>
  </si>
  <si>
    <t>개발 원가관리의 개념, 원가에 영향을 미치는 주요 요인, 개발 모델 수익성 분석 및 원가 산출 절차를 이해하며, 예제별 시뮬레이션 실습을 통해 연구/개발 업무에서 수익성을 향상시키는 능력을 함양한다.</t>
    <phoneticPr fontId="8" type="noConversion"/>
  </si>
  <si>
    <t>M1.
개발 원가관리의 이해
(30분)</t>
    <phoneticPr fontId="10" type="noConversion"/>
  </si>
  <si>
    <t>M2.
원가에 영향을 미치는 요소
(50분)</t>
    <phoneticPr fontId="10" type="noConversion"/>
  </si>
  <si>
    <t>실습</t>
    <phoneticPr fontId="2" type="noConversion"/>
  </si>
  <si>
    <t>M4.
효과 분석 Simulation
(80분)</t>
    <phoneticPr fontId="10" type="noConversion"/>
  </si>
  <si>
    <t>0. 실습 Flow 및 학습 방법 안내 (개별 문제확인/풀이 5분 + 문제해설 5분)</t>
    <phoneticPr fontId="2" type="noConversion"/>
  </si>
  <si>
    <t>* 과목별 시간은 휴게 시간 포함임</t>
    <phoneticPr fontId="2" type="noConversion"/>
  </si>
  <si>
    <t>0. Opening</t>
    <phoneticPr fontId="8" type="noConversion"/>
  </si>
  <si>
    <t>0. 사전 퀴즈</t>
    <phoneticPr fontId="2" type="noConversion"/>
  </si>
  <si>
    <t>https://www.youtube.com/watch?v=9LPyFwFDuvw</t>
    <phoneticPr fontId="2" type="noConversion"/>
  </si>
  <si>
    <t>참고 영상</t>
    <phoneticPr fontId="2" type="noConversion"/>
  </si>
  <si>
    <t>차량 실내 설계를 통한 원가 절감 효과와 설계자의 자세 (총 13분, 10분 내외편집)</t>
    <phoneticPr fontId="2" type="noConversion"/>
  </si>
  <si>
    <r>
      <t>설계자의 고민과 선택</t>
    </r>
    <r>
      <rPr>
        <sz val="10"/>
        <color theme="1"/>
        <rFont val="맑은 고딕"/>
        <family val="3"/>
        <charset val="129"/>
      </rPr>
      <t xml:space="preserve"> (디자인 읽어 주는 남자)</t>
    </r>
    <phoneticPr fontId="2" type="noConversion"/>
  </si>
  <si>
    <t>상품 (카페쿠폰)</t>
    <phoneticPr fontId="2" type="noConversion"/>
  </si>
  <si>
    <t>1. Auto Biz. 특성</t>
    <phoneticPr fontId="2" type="noConversion"/>
  </si>
  <si>
    <t>1. 수주 사업이란</t>
    <phoneticPr fontId="2" type="noConversion"/>
  </si>
  <si>
    <t>3. Auto 수주관리 Process</t>
    <phoneticPr fontId="2" type="noConversion"/>
  </si>
  <si>
    <t>4. 수주/기획단계 vs. 실적 수익률 GAP 발생 주요원인</t>
    <phoneticPr fontId="2" type="noConversion"/>
  </si>
  <si>
    <t>2. 수급형 사업 vs. 수주형 사업</t>
    <phoneticPr fontId="2" type="noConversion"/>
  </si>
  <si>
    <t>5. 수주 의사결정에 따른 수익성 악화</t>
    <phoneticPr fontId="2" type="noConversion"/>
  </si>
  <si>
    <t>동영상</t>
  </si>
  <si>
    <t>1. 개발 원가관리란</t>
    <phoneticPr fontId="2" type="noConversion"/>
  </si>
  <si>
    <t>2. 개발(설계)를 잘해야 제품원가를 낮춘다!</t>
    <phoneticPr fontId="2" type="noConversion"/>
  </si>
  <si>
    <t>4. 재료비 외의 원가는 기본적으로 상승한다.</t>
    <phoneticPr fontId="2" type="noConversion"/>
  </si>
  <si>
    <t>3. 산업 특성상 개발 기간이 길고 양산 후에는 설계 변경을 통한 원가절감이 어렵다.</t>
    <phoneticPr fontId="2" type="noConversion"/>
  </si>
  <si>
    <t>5. 구매단가 인하로는 판가인하를 Cover하지 못한다.</t>
    <phoneticPr fontId="2" type="noConversion"/>
  </si>
  <si>
    <t>0. 강사소개, 학습목표/목차 소개</t>
    <phoneticPr fontId="2" type="noConversion"/>
  </si>
  <si>
    <t>0. 원가 구조 COP 구조 및 주요 Factor</t>
    <phoneticPr fontId="2" type="noConversion"/>
  </si>
  <si>
    <t>6. 연구~설계 단계에서 원가의 90% 이상이 결정 된다.</t>
    <phoneticPr fontId="2" type="noConversion"/>
  </si>
  <si>
    <t>1. 재료비 : 정의/산출법, L2C 예시, 설계 CI 에 좌우, 소요 재료비 산식</t>
    <phoneticPr fontId="2" type="noConversion"/>
  </si>
  <si>
    <t>2. 가공비 : 정의/산출법</t>
    <phoneticPr fontId="2" type="noConversion"/>
  </si>
  <si>
    <t>3. 판관비 : 정의/산출법</t>
    <phoneticPr fontId="2" type="noConversion"/>
  </si>
  <si>
    <t>M2.
원가에 영향을 미치는 요소
(120분)</t>
    <phoneticPr fontId="10" type="noConversion"/>
  </si>
  <si>
    <t>상품 (카페쿠폰)</t>
  </si>
  <si>
    <t>1. V25 EX 극한CI 제품개발</t>
    <phoneticPr fontId="2" type="noConversion"/>
  </si>
  <si>
    <t>1. 추진 방향, 과제 전개, 추진 성과</t>
    <phoneticPr fontId="2" type="noConversion"/>
  </si>
  <si>
    <t>1. 설계 CI : Mask Reduction, DRD 제품, 면취수 증대, 개취수 증대</t>
    <phoneticPr fontId="2" type="noConversion"/>
  </si>
  <si>
    <t>2. 부품 CI : 염가형 POL, 범용 메모리, CG PF 삭제, Encap NSUS Multi</t>
    <phoneticPr fontId="2" type="noConversion"/>
  </si>
  <si>
    <t xml:space="preserve">                회로부품 Multi, CG 생산 Site Multi</t>
    <phoneticPr fontId="2" type="noConversion"/>
  </si>
  <si>
    <t>3. 경비 CI : 재료비 소요량 개선, 폐기비 개선, 운반비 개선, R&amp;D 비용 개선</t>
    <phoneticPr fontId="2" type="noConversion"/>
  </si>
  <si>
    <t>M3.
원가개선 BP 사례
(120분)</t>
    <phoneticPr fontId="10" type="noConversion"/>
  </si>
  <si>
    <t>* 교육참가전 사전학습 (알기쉬운 원가이해 Dtube 영상 : 36분) 안내 검토</t>
    <phoneticPr fontId="2" type="noConversion"/>
  </si>
  <si>
    <t>2. 주요 Factor별 원가영향 (Simulation)</t>
    <phoneticPr fontId="2" type="noConversion"/>
  </si>
  <si>
    <t>2. 주요 요인별 원가개선 사례</t>
    <phoneticPr fontId="2" type="noConversion"/>
  </si>
  <si>
    <t>목차 포함</t>
    <phoneticPr fontId="2" type="noConversion"/>
  </si>
  <si>
    <t>3. 업무효율향상 Tool</t>
    <phoneticPr fontId="2" type="noConversion"/>
  </si>
  <si>
    <t>4. 수율 향상 : Repair 설계</t>
  </si>
  <si>
    <t>3. 기타 : 설계자동화, 실험계획법</t>
    <phoneticPr fontId="2" type="noConversion"/>
  </si>
  <si>
    <t>1. LGD 아이디어 발상법 : 개념, 도출 Process, 56 가지, 활용 사례</t>
    <phoneticPr fontId="2" type="noConversion"/>
  </si>
  <si>
    <t>2. Hi-D Search : 개념, 구조, 활용, 연결 활용 예시</t>
    <phoneticPr fontId="2" type="noConversion"/>
  </si>
  <si>
    <t>1. 재무/원가 용어에 대한 퀴즈 (4문항)</t>
    <phoneticPr fontId="2" type="noConversion"/>
  </si>
  <si>
    <t>Quiz (&amp; Wrap up)</t>
    <phoneticPr fontId="2" type="noConversion"/>
  </si>
  <si>
    <t>시청</t>
    <phoneticPr fontId="2" type="noConversion"/>
  </si>
  <si>
    <t>1. 재무/원가 용어에 대한 퀴즈 (5문항)</t>
    <phoneticPr fontId="2" type="noConversion"/>
  </si>
  <si>
    <t xml:space="preserve">    Sim. 예제 - 3) 면취수/Mask 변화</t>
  </si>
  <si>
    <t>Q&amp;A (&amp; Wrap up)</t>
    <phoneticPr fontId="2" type="noConversion"/>
  </si>
  <si>
    <t>상품 (기프티콘)</t>
    <phoneticPr fontId="2" type="noConversion"/>
  </si>
  <si>
    <t>7. 고객 니즈 변화</t>
  </si>
  <si>
    <t>8. Summary</t>
    <phoneticPr fontId="2" type="noConversion"/>
  </si>
  <si>
    <t xml:space="preserve">    Sim. 예제 - 1) Loading 변화</t>
    <phoneticPr fontId="2" type="noConversion"/>
  </si>
  <si>
    <t xml:space="preserve">    Sim. 예제 - 2) 재료비/수율변화</t>
    <phoneticPr fontId="2" type="noConversion"/>
  </si>
  <si>
    <t xml:space="preserve">    Sim. 예제 - 4) 개조투자 및 Tact time 변화</t>
  </si>
  <si>
    <t>원가에 R&amp;D가 미치는 전체 구조를 이해할 수 있다. 차별화 된 기술로 수익성 개선을 할수 있다는 자신감을 고취한다. (긍정 마인드)</t>
    <phoneticPr fontId="8" type="noConversion"/>
  </si>
  <si>
    <t>M1.</t>
    <phoneticPr fontId="10" type="noConversion"/>
  </si>
  <si>
    <t>Auto) 개발원가 이해 및 활용</t>
    <phoneticPr fontId="8" type="noConversion"/>
  </si>
  <si>
    <t>AI를 전략적 의사결정 도구로 활용하는 실전 시뮬레이션</t>
    <phoneticPr fontId="2" type="noConversion"/>
  </si>
  <si>
    <t>1. Openning</t>
    <phoneticPr fontId="8" type="noConversion"/>
  </si>
  <si>
    <t>2. 아이스 브레이킹</t>
    <phoneticPr fontId="2" type="noConversion"/>
  </si>
  <si>
    <t>3. 재료비 외의 원가는 기본적으로 상승한다.</t>
    <phoneticPr fontId="2" type="noConversion"/>
  </si>
  <si>
    <t>2. Case 1 (비용 혁신)</t>
    <phoneticPr fontId="2" type="noConversion"/>
  </si>
  <si>
    <t>3. Case 2 (가치 혁신)</t>
    <phoneticPr fontId="2" type="noConversion"/>
  </si>
  <si>
    <t>1. 실재 과거 사례에서 개발/견적원가 ~ 발생원가의 차이 분석</t>
    <phoneticPr fontId="2" type="noConversion"/>
  </si>
  <si>
    <t xml:space="preserve">1. Case Study </t>
    <phoneticPr fontId="8" type="noConversion"/>
  </si>
  <si>
    <t>전 사원</t>
    <phoneticPr fontId="8" type="noConversion"/>
  </si>
  <si>
    <t>원가 구조</t>
    <phoneticPr fontId="8" type="noConversion"/>
  </si>
  <si>
    <t xml:space="preserve">알기 쉬운 원가 이해 (e) </t>
    <phoneticPr fontId="8" type="noConversion"/>
  </si>
  <si>
    <t>원가의 기본 개념, 구조 및 LGD 제조원가의 흐름에 따른 원가 배부에 대하여 이해 할 수 있다.</t>
    <phoneticPr fontId="8" type="noConversion"/>
  </si>
  <si>
    <t>교재 url →</t>
    <phoneticPr fontId="2" type="noConversion"/>
  </si>
  <si>
    <t>http://edms.lgdisplay.com:8080/Servlet/ContentViewCmd.document?object_id=27E82CC5038ACEC3F27C3C1FCD1A8DB8A810A2D12610DD55EA7E5F17215A9952&amp;update_log=0&amp;rendition_type=0&amp;url_copy=1&amp;status=E1100</t>
    <phoneticPr fontId="2" type="noConversion"/>
  </si>
  <si>
    <t>시간(h)</t>
    <phoneticPr fontId="8" type="noConversion"/>
  </si>
  <si>
    <t>강사</t>
    <phoneticPr fontId="10" type="noConversion"/>
  </si>
  <si>
    <t>개발일자</t>
    <phoneticPr fontId="8" type="noConversion"/>
  </si>
  <si>
    <t>매체</t>
  </si>
  <si>
    <t>영상 url ↓</t>
    <phoneticPr fontId="2" type="noConversion"/>
  </si>
  <si>
    <t>알기 쉬운
원가 이해
(1.0hr:36분)</t>
    <phoneticPr fontId="10" type="noConversion"/>
  </si>
  <si>
    <t>1. 원가의 분류</t>
    <phoneticPr fontId="8" type="noConversion"/>
  </si>
  <si>
    <t>원가의 중요성 및 개념, 원가의 4가지 요소에 따른 분류
(원가 요소, 추적 가능성, 조업도 관련성, 통제 가능성)</t>
    <phoneticPr fontId="2" type="noConversion"/>
  </si>
  <si>
    <t>강사강의</t>
    <phoneticPr fontId="8" type="noConversion"/>
  </si>
  <si>
    <t>'20.06월</t>
    <phoneticPr fontId="2" type="noConversion"/>
  </si>
  <si>
    <t>동영상</t>
    <phoneticPr fontId="8" type="noConversion"/>
  </si>
  <si>
    <t>https://smarthrd.lgdisplay.com/local/media/link.php?v=MjEzNzJ8fHBsYXllcg==</t>
    <phoneticPr fontId="2" type="noConversion"/>
  </si>
  <si>
    <t>2. Cost Structure</t>
    <phoneticPr fontId="2" type="noConversion"/>
  </si>
  <si>
    <t>원가의 구성 : 직접 제조원가, 제조원가 (COM), 총 원가 (COP)
COP와 EBIT, Cash Cost와 EBITDA, 변동비와 한계이익</t>
    <phoneticPr fontId="2" type="noConversion"/>
  </si>
  <si>
    <t>https://smarthrd.lgdisplay.com/local/media/link.php?v=MjEzNzN8fHBsYXllcg==</t>
    <phoneticPr fontId="2" type="noConversion"/>
  </si>
  <si>
    <t>3. 제조원가의 흐름</t>
    <phoneticPr fontId="2" type="noConversion"/>
  </si>
  <si>
    <t>자재창고, 생산현장, 제품창고, 고객 흐름에 따른 원가</t>
    <phoneticPr fontId="2" type="noConversion"/>
  </si>
  <si>
    <t>https://smarthrd.lgdisplay.com/local/media/link.php?v=MjEzNzR8fHBsYXllcg==</t>
    <phoneticPr fontId="2" type="noConversion"/>
  </si>
  <si>
    <t>4. LGD 원가</t>
    <phoneticPr fontId="2" type="noConversion"/>
  </si>
  <si>
    <t>LGD 제조 원가 계산의 기준, 재고자산 종류와 LGD 재고자산의 흐름</t>
    <phoneticPr fontId="2" type="noConversion"/>
  </si>
  <si>
    <t>https://smarthrd.lgdisplay.com/local/media/link.php?v=MjEzNzV8fHBsYXllcg==</t>
    <phoneticPr fontId="2" type="noConversion"/>
  </si>
  <si>
    <t>5. 재료비 계산</t>
    <phoneticPr fontId="2" type="noConversion"/>
  </si>
  <si>
    <t>주자재 및 부자재의 구분 및 단가 산출</t>
    <phoneticPr fontId="2" type="noConversion"/>
  </si>
  <si>
    <t>https://smarthrd.lgdisplay.com/local/media/link.php?v=MjEzNzZ8fHBsYXllcg==</t>
    <phoneticPr fontId="2" type="noConversion"/>
  </si>
  <si>
    <t>6. 가공비 계산</t>
    <phoneticPr fontId="2" type="noConversion"/>
  </si>
  <si>
    <t>가공비 산출의 흐름 및 배부 기준</t>
    <phoneticPr fontId="2" type="noConversion"/>
  </si>
  <si>
    <t>https://smarthrd.lgdisplay.com/local/media/link.php?v=MjEzNzd8fHBsYXllcg==</t>
    <phoneticPr fontId="2" type="noConversion"/>
  </si>
  <si>
    <t>7. SG&amp;A 계산</t>
    <phoneticPr fontId="2" type="noConversion"/>
  </si>
  <si>
    <t>판매관리비 산출의 흐름 및 배부 기준</t>
    <phoneticPr fontId="2" type="noConversion"/>
  </si>
  <si>
    <t>https://smarthrd.lgdisplay.com/local/media/link.php?v=MjEzNzh8fHBsYXllcg==</t>
    <phoneticPr fontId="2" type="noConversion"/>
  </si>
  <si>
    <r>
      <t xml:space="preserve">사무직 </t>
    </r>
    <r>
      <rPr>
        <sz val="10"/>
        <rFont val="LG스마트체2.0 Regular"/>
        <family val="3"/>
        <charset val="129"/>
      </rPr>
      <t>(비재경)</t>
    </r>
    <phoneticPr fontId="8" type="noConversion"/>
  </si>
  <si>
    <t>원가 변동요인, 영향 분석</t>
    <phoneticPr fontId="8" type="noConversion"/>
  </si>
  <si>
    <t xml:space="preserve">원가회계의 이해 및 수익성 변동요인 분석 (e) </t>
    <phoneticPr fontId="8" type="noConversion"/>
  </si>
  <si>
    <t>(비재경 직군 대상) 제품 원가 구조에 대한 이해를 바탕으로 수익성 기반의 의사결정 역량을 향상하기 위함</t>
    <phoneticPr fontId="8" type="noConversion"/>
  </si>
  <si>
    <t>http://edms.lgdisplay.com:8080/Servlet/ContentViewCmd.document?object_id=Z62FE139BAB2EB49FA5298014D67CF674DB6908BEB6780A7FA6D281CBC49A78D9&amp;update_log=0&amp;rendition_type=0&amp;url_copy=1</t>
    <phoneticPr fontId="2" type="noConversion"/>
  </si>
  <si>
    <r>
      <t>시간</t>
    </r>
    <r>
      <rPr>
        <sz val="10"/>
        <rFont val="LG스마트체2.0 Regular"/>
        <family val="3"/>
        <charset val="129"/>
      </rPr>
      <t>(h)</t>
    </r>
    <phoneticPr fontId="8" type="noConversion"/>
  </si>
  <si>
    <t>원가회계의 이해 및 수익성 변동요인 분석
(2.5hr)</t>
    <phoneticPr fontId="10" type="noConversion"/>
  </si>
  <si>
    <t>1. 원가회계의 이해</t>
    <phoneticPr fontId="8" type="noConversion"/>
  </si>
  <si>
    <t>과정/강사 소개, 국내외 경제환경</t>
    <phoneticPr fontId="2" type="noConversion"/>
  </si>
  <si>
    <t>김종재</t>
    <phoneticPr fontId="2" type="noConversion"/>
  </si>
  <si>
    <t>'24.12월</t>
    <phoneticPr fontId="2" type="noConversion"/>
  </si>
  <si>
    <t>https://smarthrd.lgdisplay.com/local/media/link.php?v=MjA1Njd8fHBsYXllcg==</t>
    <phoneticPr fontId="2" type="noConversion"/>
  </si>
  <si>
    <t>회계의 정의/분류, 내부회계관리제도 이해, 원가개념, 원가흐름, 재무제표</t>
    <phoneticPr fontId="2" type="noConversion"/>
  </si>
  <si>
    <t>https://smarthrd.lgdisplay.com/local/media/link.php?v=MjA1Njh8fHBsYXllcg==</t>
    <phoneticPr fontId="2" type="noConversion"/>
  </si>
  <si>
    <t>손익계산서 구조, 회계원칙 (발생주의, 수익비용대응의 원칙 : 감가상각비)</t>
    <phoneticPr fontId="2" type="noConversion"/>
  </si>
  <si>
    <t>https://smarthrd.lgdisplay.com/local/media/link.php?v=MjA1NzB8fHBsYXllcg==</t>
    <phoneticPr fontId="2" type="noConversion"/>
  </si>
  <si>
    <t>원가분류/배부기준, 원가계산 (재료비/수율/감가비/가공비 배부…)</t>
    <phoneticPr fontId="2" type="noConversion"/>
  </si>
  <si>
    <t>2. 원가 변동요인 분석</t>
    <phoneticPr fontId="2" type="noConversion"/>
  </si>
  <si>
    <t>재무 vs 관리 관점, 변동비 vs 고정비, 증분원가 vs 매몰원가, CVP 분석,
BEP 분석 (BEP 개념, 목표이익, 영업 레버리지)</t>
    <phoneticPr fontId="2" type="noConversion"/>
  </si>
  <si>
    <t>https://smarthrd.lgdisplay.com/local/media/link.php?v=MjA1NzF8fHBsYXllcg==</t>
    <phoneticPr fontId="2" type="noConversion"/>
  </si>
  <si>
    <t>3. 사례 / Q&amp;A</t>
  </si>
  <si>
    <t>종합 예제 (원가, 비용, 이익, BEP, 판가, 재고평가감 구하기)</t>
    <phoneticPr fontId="2" type="noConversion"/>
  </si>
  <si>
    <t>https://smarthrd.lgdisplay.com/local/media/link.php?v=MjA1NzR8fHBsYXllcg==</t>
    <phoneticPr fontId="2" type="noConversion"/>
  </si>
  <si>
    <t>EBIT/EBITDA 구하기, 투자 경제성, 재고 폐기 vs 등급품 생산, 본사 지사간 거래 흐름, 외주가공비 범위, 수익성 기준 제품생산 우선순위</t>
    <phoneticPr fontId="2" type="noConversion"/>
  </si>
  <si>
    <t>https://smarthrd.lgdisplay.com/local/media/link.php?v=MjA1NzJ8fHBsYXllcg==</t>
    <phoneticPr fontId="2" type="noConversion"/>
  </si>
  <si>
    <t>* 사전 질문/해설</t>
    <phoneticPr fontId="2" type="noConversion"/>
  </si>
  <si>
    <t>CI효과 반영되는 시차, Re-work 양품 회계처리, 개발비 자산화후 비용 처리 등</t>
    <phoneticPr fontId="2" type="noConversion"/>
  </si>
  <si>
    <t>https://smarthrd.lgdisplay.com/local/media/link.php?v=MjA1NzN8fHBsYXllcg==</t>
    <phoneticPr fontId="2" type="noConversion"/>
  </si>
  <si>
    <r>
      <t>리더</t>
    </r>
    <r>
      <rPr>
        <sz val="10"/>
        <rFont val="LG스마트체2.0 Regular"/>
        <family val="3"/>
        <charset val="129"/>
      </rPr>
      <t xml:space="preserve"> (팀장)</t>
    </r>
    <phoneticPr fontId="8" type="noConversion"/>
  </si>
  <si>
    <t>경영상황, 원가구조, 영향</t>
    <phoneticPr fontId="8" type="noConversion"/>
  </si>
  <si>
    <t>Finance on LGD (vc)</t>
    <phoneticPr fontId="8" type="noConversion"/>
  </si>
  <si>
    <t>경영상황 악화에 따라, 자사의 재무 구조 및 변동 요인 이해를 바탕으로 한 조직책임자의 역할 수행 필요성을 인식시킴</t>
    <phoneticPr fontId="8" type="noConversion"/>
  </si>
  <si>
    <t>http://edms.lgdisplay.com:8080/Servlet/ContentViewCmd.document?object_id=ZB8AE0049FAA9CB6C02DC9992636BAAD952642B803BD9F8DED851789735497CA7&amp;update_log=0&amp;rendition_type=0&amp;url_copy=1</t>
    <phoneticPr fontId="2" type="noConversion"/>
  </si>
  <si>
    <t>Finance on LGD
(2.5hr)</t>
    <phoneticPr fontId="10" type="noConversion"/>
  </si>
  <si>
    <t>1. LGD의 현재</t>
    <phoneticPr fontId="8" type="noConversion"/>
  </si>
  <si>
    <t>경영환경 변화, LGD 손익구조, LGD 재무구조, LGD 현금흐름</t>
    <phoneticPr fontId="2" type="noConversion"/>
  </si>
  <si>
    <t>'23.06월</t>
    <phoneticPr fontId="2" type="noConversion"/>
  </si>
  <si>
    <t>강의파일</t>
    <phoneticPr fontId="8" type="noConversion"/>
  </si>
  <si>
    <t>https://smarthrd.lgdisplay.com/local/media/link.php?v=MTc4Njl8fHBsYXllcg==</t>
    <phoneticPr fontId="2" type="noConversion"/>
  </si>
  <si>
    <t>2. LGD 원가 구조</t>
    <phoneticPr fontId="2" type="noConversion"/>
  </si>
  <si>
    <t>원가 구조 및 특징, 고정 비용, 변동 비용</t>
    <phoneticPr fontId="2" type="noConversion"/>
  </si>
  <si>
    <t>3. Wrap-up &amp; Summary</t>
    <phoneticPr fontId="2" type="noConversion"/>
  </si>
  <si>
    <t>Wrap-up &amp; Summary</t>
    <phoneticPr fontId="2" type="noConversion"/>
  </si>
  <si>
    <t>사무직</t>
    <phoneticPr fontId="8" type="noConversion"/>
  </si>
  <si>
    <t>원가혁신 Tool</t>
    <phoneticPr fontId="8" type="noConversion"/>
  </si>
  <si>
    <r>
      <t xml:space="preserve">Let's Smart 3LBZ </t>
    </r>
    <r>
      <rPr>
        <b/>
        <sz val="10"/>
        <color rgb="FFC00000"/>
        <rFont val="맑은 고딕"/>
        <family val="3"/>
        <charset val="129"/>
      </rPr>
      <t xml:space="preserve">(e) </t>
    </r>
    <phoneticPr fontId="8" type="noConversion"/>
  </si>
  <si>
    <t>팀 리더가 3LBZ 용어와 개념, 기존 활동과의 차별 점 및 일하는 절차/방식을 이해하고, 제조 및 비 제조 부문 적용 사례 학습을 통해 조직 내 3LBZ 활동을 Smart 하게 추진 할 수 있다.</t>
    <phoneticPr fontId="8" type="noConversion"/>
  </si>
  <si>
    <t>http://edms.lgdisplay.com:8080/Servlet/ContentViewCmd.document?object_id=D974D6B12AFCE1C97E7B2B8545A68966D9BC0F97E62A7BC6BF52E854B572D961&amp;update_log=0&amp;rendition_type=0&amp;url_copy=1&amp;status=E1100</t>
    <phoneticPr fontId="2" type="noConversion"/>
  </si>
  <si>
    <t>Let's Smart 3LBZ
(0.5hr)</t>
    <phoneticPr fontId="10" type="noConversion"/>
  </si>
  <si>
    <t>Let's Smart 3LBZ</t>
    <phoneticPr fontId="2" type="noConversion"/>
  </si>
  <si>
    <t>히스토리/활동실적, 용어/개념 정의, 기존 활동과의 차별 점, 일하는 방식</t>
    <phoneticPr fontId="2" type="noConversion"/>
  </si>
  <si>
    <t>정영환</t>
    <phoneticPr fontId="2" type="noConversion"/>
  </si>
  <si>
    <t>'25.01월</t>
    <phoneticPr fontId="2" type="noConversion"/>
  </si>
  <si>
    <t>https://smarthrd.lgdisplay.com/local/media/link.php?v=MjA3Nzh8fHBsYXllcg==</t>
    <phoneticPr fontId="2" type="noConversion"/>
  </si>
  <si>
    <t>적용 사례 : 제조 영역 (PTN장비), 적용 사례 : 비 제조 영역 (구매), Summary</t>
    <phoneticPr fontId="2" type="noConversion"/>
  </si>
  <si>
    <t>원가혁신 Mind (사례, 지침)</t>
    <phoneticPr fontId="8" type="noConversion"/>
  </si>
  <si>
    <r>
      <t xml:space="preserve">원가혁신 Mindset </t>
    </r>
    <r>
      <rPr>
        <b/>
        <sz val="10"/>
        <color rgb="FFC00000"/>
        <rFont val="맑은 고딕"/>
        <family val="3"/>
        <charset val="129"/>
      </rPr>
      <t xml:space="preserve">(e) </t>
    </r>
    <phoneticPr fontId="8" type="noConversion"/>
  </si>
  <si>
    <t>자사의 원가 혁신 상황과 원가 혁신의 필요성을 명확히 인식하고, 원가 혁신 의지를 다지며 원가 혁신을 실현 한다.</t>
    <phoneticPr fontId="8" type="noConversion"/>
  </si>
  <si>
    <t>원가혁신 Mindset
(0.5hr)</t>
    <phoneticPr fontId="10" type="noConversion"/>
  </si>
  <si>
    <t>1. 원가혁신, 왜 필요한가?</t>
    <phoneticPr fontId="2" type="noConversion"/>
  </si>
  <si>
    <t>실적 Trend, 원가 구조, 원가 혁신 당위성, 지속 가능을 위한 CI 목표, 사고 전환</t>
    <phoneticPr fontId="2" type="noConversion"/>
  </si>
  <si>
    <t>송홍진</t>
    <phoneticPr fontId="2" type="noConversion"/>
  </si>
  <si>
    <t>'25.07월</t>
    <phoneticPr fontId="2" type="noConversion"/>
  </si>
  <si>
    <t>https://smarthrd.lgdisplay.com/local/media/link.php?v=MjE2NjR8fHBsYXllcg==</t>
    <phoneticPr fontId="2" type="noConversion"/>
  </si>
  <si>
    <t>2. 원가혁신 Mindset</t>
    <phoneticPr fontId="2" type="noConversion"/>
  </si>
  <si>
    <t>원가혁신 Hurdle(voc), 원가혁신 추진방향, 원가혁신 4대 원칙과 BP 사례</t>
    <phoneticPr fontId="2" type="noConversion"/>
  </si>
  <si>
    <t>(AI Tool)</t>
    <phoneticPr fontId="2" type="noConversion"/>
  </si>
  <si>
    <t>담당 후보</t>
    <phoneticPr fontId="8" type="noConversion"/>
  </si>
  <si>
    <t>재무, 원가구조, 영향요인</t>
    <phoneticPr fontId="8" type="noConversion"/>
  </si>
  <si>
    <t>재무적 사고역량 향상과정 (off)</t>
    <phoneticPr fontId="8" type="noConversion"/>
  </si>
  <si>
    <t>현재 내가 하고 있는 일이 비용 관점에서 어떻게 영향을 미치는지를 알고, 회사 수익성과  연결되는 구조를 분명히 이해함으로써, 부문 간 협업을 통한 리더로서의 재무적 사고를 확장하는 계기를 마련하기 위함</t>
    <phoneticPr fontId="8" type="noConversion"/>
  </si>
  <si>
    <t>재무적 사고역량 향상
(8.0hr)</t>
    <phoneticPr fontId="10" type="noConversion"/>
  </si>
  <si>
    <t>1. 재무용어 이해</t>
    <phoneticPr fontId="2" type="noConversion"/>
  </si>
  <si>
    <t xml:space="preserve">한계이익, 판매관리비, 부채비율 등 </t>
    <phoneticPr fontId="2" type="noConversion"/>
  </si>
  <si>
    <t>허재원_m1~3</t>
    <phoneticPr fontId="2" type="noConversion"/>
  </si>
  <si>
    <t>'25.11월</t>
    <phoneticPr fontId="2" type="noConversion"/>
  </si>
  <si>
    <t>2. 내가 하는 일이 미치는 영향</t>
    <phoneticPr fontId="2" type="noConversion"/>
  </si>
  <si>
    <t xml:space="preserve">비용관점 긍정 부정 이해 </t>
    <phoneticPr fontId="2" type="noConversion"/>
  </si>
  <si>
    <t>이찬희_m4~7</t>
    <phoneticPr fontId="2" type="noConversion"/>
  </si>
  <si>
    <t>3. 매출</t>
    <phoneticPr fontId="2" type="noConversion"/>
  </si>
  <si>
    <t>매출 트랜드, 공장별 원가구조, 손익분기점 활용, 신제품 매출요건 및 적기개발</t>
    <phoneticPr fontId="2" type="noConversion"/>
  </si>
  <si>
    <t>4. 비용</t>
    <phoneticPr fontId="2" type="noConversion"/>
  </si>
  <si>
    <t>재료비, 인건비, 상각비, 경비</t>
    <phoneticPr fontId="2" type="noConversion"/>
  </si>
  <si>
    <t>5. 원가혁신</t>
    <phoneticPr fontId="2" type="noConversion"/>
  </si>
  <si>
    <t>원가혁신을 위한 재무적 사고 전환의 기본 구조</t>
    <phoneticPr fontId="2" type="noConversion"/>
  </si>
  <si>
    <t>6. 원가구조</t>
    <phoneticPr fontId="2" type="noConversion"/>
  </si>
  <si>
    <t>고정비 변동비 구조</t>
    <phoneticPr fontId="2" type="noConversion"/>
  </si>
  <si>
    <t>7. 재무제표</t>
    <phoneticPr fontId="2" type="noConversion"/>
  </si>
  <si>
    <t xml:space="preserve">IS BS CF </t>
    <phoneticPr fontId="2" type="noConversion"/>
  </si>
  <si>
    <t>개발 엔지니어</t>
    <phoneticPr fontId="8" type="noConversion"/>
  </si>
  <si>
    <t>Biz.특성, 원가영향요인/Sim, BP</t>
    <phoneticPr fontId="8" type="noConversion"/>
  </si>
  <si>
    <t>Auto 개발원가 이해 및 활용 (off)</t>
    <phoneticPr fontId="8" type="noConversion"/>
  </si>
  <si>
    <t>사업부 Biz. 특성과 개발 원가관리의 개념, 원가에 영향을 미치는 주요 요인과 산출 방법을 이해하고, Simulation 예제 학습과 원가 개선 BP 사례를 통해 연구/개발 업무에서 수익성을 향상시키는 능력을 함양한다.</t>
    <phoneticPr fontId="8" type="noConversion"/>
  </si>
  <si>
    <t>http://edms.lgdisplay.com:8080/Servlet/ContentViewCmd.document?object_id=Z411F76E74EB1C41B6BC53739353EBEE972706A34FAEC1F3C38A9090E1FA4205E&amp;update_log=0&amp;rendition_type=0&amp;url_copy=1</t>
    <phoneticPr fontId="2" type="noConversion"/>
  </si>
  <si>
    <t>http://edms.lgdisplay.com:8080/Servlet/ContentViewCmd.document?object_id=Z49BFA8362BDC4BF8B3D9E5DC18A16AC246F3FB1F7E88D53EB842DB46537723E7&amp;update_log=0&amp;rendition_type=0&amp;url_copy=1</t>
    <phoneticPr fontId="2" type="noConversion"/>
  </si>
  <si>
    <t>Auto 
개발원가 이해 및 활용(6.0hr)</t>
    <phoneticPr fontId="10" type="noConversion"/>
  </si>
  <si>
    <t>1. Auto Biz. 특성과 개발 원가 관리</t>
    <phoneticPr fontId="2" type="noConversion"/>
  </si>
  <si>
    <t>사업부 Biz. 특성, 개발 원가관리의 중요성</t>
    <phoneticPr fontId="2" type="noConversion"/>
  </si>
  <si>
    <t>최동현_m1</t>
    <phoneticPr fontId="2" type="noConversion"/>
  </si>
  <si>
    <t>'25.12월</t>
    <phoneticPr fontId="2" type="noConversion"/>
  </si>
  <si>
    <t>http://edms.lgdisplay.com:8080/Servlet/ContentViewCmd.document?object_id=ZF47A9D8AD68CDB13AC34486DEDEB2A4BA5441DFC5D27854F1DE40F83C7277592&amp;update_log=0&amp;rendition_type=0&amp;url_copy=2</t>
    <phoneticPr fontId="2" type="noConversion"/>
  </si>
  <si>
    <t>2. 원가에 영향을 미치는 요소</t>
    <phoneticPr fontId="2" type="noConversion"/>
  </si>
  <si>
    <t>원가 구조와 주요 Factor, 원가영향 (Simulation - 재료비/가공비/판관비 등)</t>
    <phoneticPr fontId="2" type="noConversion"/>
  </si>
  <si>
    <t>임가영_m2</t>
    <phoneticPr fontId="2" type="noConversion"/>
  </si>
  <si>
    <t>3. 원가개선 BP 사례</t>
    <phoneticPr fontId="2" type="noConversion"/>
  </si>
  <si>
    <t xml:space="preserve">극한CI 제품개발, 주요 요인별 원가개선 사례 (설계/부품/경비 CI 등) </t>
    <phoneticPr fontId="2" type="noConversion"/>
  </si>
  <si>
    <t>박지혁_m3</t>
    <phoneticPr fontId="2" type="noConversion"/>
  </si>
  <si>
    <t>기타</t>
    <phoneticPr fontId="2" type="noConversion"/>
  </si>
  <si>
    <t>사내</t>
    <phoneticPr fontId="2" type="noConversion"/>
  </si>
  <si>
    <t>사업부) 개발 원가 혁신 과정</t>
    <phoneticPr fontId="8" type="noConversion"/>
  </si>
  <si>
    <t>동영상</t>
    <phoneticPr fontId="2" type="noConversion"/>
  </si>
  <si>
    <t>1. 과정 소개, 도입 영상 (ex. 아기 돼지 삼형제 vs ?)</t>
    <phoneticPr fontId="2" type="noConversion"/>
  </si>
  <si>
    <t xml:space="preserve">     "나와 회사의 현재 모습과 미래 모습"</t>
  </si>
  <si>
    <t>1. 자기 소개/조별 (교보재 활용 : 감정카드 or 이미지카드)</t>
    <phoneticPr fontId="2" type="noConversion"/>
  </si>
  <si>
    <t>조별 발표</t>
    <phoneticPr fontId="2" type="noConversion"/>
  </si>
  <si>
    <t>조별 6명</t>
    <phoneticPr fontId="2" type="noConversion"/>
  </si>
  <si>
    <t>1. 연구~설계 단계에서 원가의 90% 이상이 결정 된다.</t>
  </si>
  <si>
    <t>1. 매년 1.5조 수준의 원가 악화요인 발생, 생존을 위한 원가 절감이 필요</t>
    <phoneticPr fontId="2" type="noConversion"/>
  </si>
  <si>
    <t>2. 지속 가능을 위한 이익을 실현할 수 있는 원가혁신 사고전환 필요</t>
    <phoneticPr fontId="2" type="noConversion"/>
  </si>
  <si>
    <t>2. 산업 특성상 개발 기간이 길고 양산 후에는 설계 변경을 통한 원가절감이 어렵다.</t>
  </si>
  <si>
    <t>4. 구매단가 인하로는 판가인하를 Cover하지 못한다.</t>
    <phoneticPr fontId="2" type="noConversion"/>
  </si>
  <si>
    <t>강의파일</t>
    <phoneticPr fontId="2" type="noConversion"/>
  </si>
  <si>
    <t>교보재</t>
    <phoneticPr fontId="2" type="noConversion"/>
  </si>
  <si>
    <t>2. 재료비는 설계 CI 에 좌우된다. (정의/산출법, L2C W/S 예시, 소요 재료비 산식)</t>
    <phoneticPr fontId="2" type="noConversion"/>
  </si>
  <si>
    <t>1. 원가/제조원가 구조 및 원가영향 주요 Factor 를 리뷰함 (R&amp;D Focus)</t>
    <phoneticPr fontId="2" type="noConversion"/>
  </si>
  <si>
    <t>3. 패널/모듈 가공비 산출 로직을 살펴본다. (가공비 구성 인자 및 산출 산식)</t>
    <phoneticPr fontId="2" type="noConversion"/>
  </si>
  <si>
    <t>퀴즈/강의</t>
    <phoneticPr fontId="2" type="noConversion"/>
  </si>
  <si>
    <t xml:space="preserve">    . 매출원가, BEP, COP/COM, 판매관리비</t>
    <phoneticPr fontId="2" type="noConversion"/>
  </si>
  <si>
    <t xml:space="preserve">    . 한계이익, 매출총이익, EBITDA, 한계이익개선 방법</t>
  </si>
  <si>
    <t>1. Quiz 를 통해 재무/원가 기본 용어를 리뷰 및 설명함 (8문항)</t>
    <phoneticPr fontId="2" type="noConversion"/>
  </si>
  <si>
    <t>M1. 원가혁신 Mindset
(1hr)
"원가혁신에서 연구개발의 중요성을 공감한다."</t>
    <phoneticPr fontId="10" type="noConversion"/>
  </si>
  <si>
    <t>1. 차별화 기술을 통한 프리미엄 제품 개발 -&gt; 판가/매출 확대</t>
    <phoneticPr fontId="2" type="noConversion"/>
  </si>
  <si>
    <t>1. Case Study 소개</t>
    <phoneticPr fontId="2" type="noConversion"/>
  </si>
  <si>
    <t>Wrap up</t>
  </si>
  <si>
    <t>-</t>
    <phoneticPr fontId="2" type="noConversion"/>
  </si>
  <si>
    <t>4. 판관비는 제조관련 비용외 제품의 판매활동과 회사 관리/유지 관련 비용이다.</t>
    <phoneticPr fontId="2" type="noConversion"/>
  </si>
  <si>
    <t xml:space="preserve">    - 비용 증가 (수익 악화) 사례 1</t>
    <phoneticPr fontId="2" type="noConversion"/>
  </si>
  <si>
    <t xml:space="preserve">    - 비용 절감 (수익 개선) 사례 2</t>
    <phoneticPr fontId="2" type="noConversion"/>
  </si>
  <si>
    <t xml:space="preserve">    - 차별화 기술로 판가 상승, 매출 확대 및 수익성 개선 사례</t>
    <phoneticPr fontId="2" type="noConversion"/>
  </si>
  <si>
    <t>4. 원가/수익에 영향을 미치는 Factor</t>
    <phoneticPr fontId="2" type="noConversion"/>
  </si>
  <si>
    <t>1. 원가혁신 성공 사례 영상 및 Wrap up</t>
    <phoneticPr fontId="2" type="noConversion"/>
  </si>
  <si>
    <t>실습파일</t>
    <phoneticPr fontId="2" type="noConversion"/>
  </si>
  <si>
    <t xml:space="preserve">     "원가혁신을 통한 수익성 기반아래, 기술중심의 회사로 거듭나야 함"</t>
    <phoneticPr fontId="2" type="noConversion"/>
  </si>
  <si>
    <t>AI Tool 활용</t>
  </si>
  <si>
    <t>AI Tool 활용</t>
    <phoneticPr fontId="2" type="noConversion"/>
  </si>
  <si>
    <t>1. War Game 소개</t>
    <phoneticPr fontId="8" type="noConversion"/>
  </si>
  <si>
    <t>1. War Game 소개 (목적, 기대효과, 방법)</t>
    <phoneticPr fontId="2" type="noConversion"/>
  </si>
  <si>
    <t>1. Game 1) 조건 변화 Simulstion (loading, 재료비, 수율 등)</t>
    <phoneticPr fontId="2" type="noConversion"/>
  </si>
  <si>
    <t>2. Game 2) 조건 변화 Simulation (Mask, 면취수, 개조투자 등)</t>
    <phoneticPr fontId="2" type="noConversion"/>
  </si>
  <si>
    <t>3. Game 3) 최고 수익성 도출을 위한 원가혁신 방안 도출</t>
    <phoneticPr fontId="2" type="noConversion"/>
  </si>
  <si>
    <t>2. War Game 실행 및 풀이</t>
    <phoneticPr fontId="2" type="noConversion"/>
  </si>
  <si>
    <t>4. Game 4) 돌발상황에 따른 최고 수익성 도출을 위한 원가혁신 방안 도출</t>
    <phoneticPr fontId="2" type="noConversion"/>
  </si>
  <si>
    <t>1. Wrap up 및 영상 (CEO 메시지)</t>
    <phoneticPr fontId="2" type="noConversion"/>
  </si>
  <si>
    <t>M2. 원가/수익성 분석 Case Study
(1hr)
"원가중심 사고, 의사결정을 할수 있다."</t>
    <phoneticPr fontId="10" type="noConversion"/>
  </si>
  <si>
    <t>M3. 원가/수익성 War Game
(2hr)
"원가/수익성 Sim. 을 통해 원가혁신 사고를 내재화 한다."</t>
    <phoneticPr fontId="10" type="noConversion"/>
  </si>
  <si>
    <t>1. 재무/원가 지식 수준과 원가혁신 인식 수준 확인 (사전 설문)</t>
    <phoneticPr fontId="2" type="noConversion"/>
  </si>
  <si>
    <t xml:space="preserve">     "R&amp;D 및 설계 엔지니어가 중요한 역할을 하고 있음, 자긍심 필요" </t>
    <phoneticPr fontId="2" type="noConversion"/>
  </si>
  <si>
    <t>3. Open Mind</t>
    <phoneticPr fontId="2" type="noConversion"/>
  </si>
  <si>
    <t xml:space="preserve">     "나의 재무/원가 지식 수준, 원가혁신에 대한 나의 생각"</t>
    <phoneticPr fontId="2" type="noConversion"/>
  </si>
  <si>
    <t>4. 자사 Biz. 상황과 원가혁신 필요성</t>
    <phoneticPr fontId="8" type="noConversion"/>
  </si>
  <si>
    <t>5. 원가에서 설계/개발의 중요성</t>
    <phoneticPr fontId="8" type="noConversion"/>
  </si>
  <si>
    <t>6. 재무/원가 기본 내용 리뷰</t>
    <phoneticPr fontId="2" type="noConversion"/>
  </si>
  <si>
    <t>결과 보고</t>
    <phoneticPr fontId="34" type="noConversion"/>
  </si>
  <si>
    <t>전문</t>
    <phoneticPr fontId="34" type="noConversion"/>
  </si>
  <si>
    <t>교육 실시</t>
    <phoneticPr fontId="34" type="noConversion"/>
  </si>
  <si>
    <t>참가자 안내</t>
    <phoneticPr fontId="34" type="noConversion"/>
  </si>
  <si>
    <t>수강 신청, 교육생 등록</t>
    <phoneticPr fontId="34" type="noConversion"/>
  </si>
  <si>
    <t>전문</t>
  </si>
  <si>
    <t>과정 등록/차수 개설</t>
  </si>
  <si>
    <t>교육 대상/방법/일시/장소 협의</t>
    <phoneticPr fontId="34" type="noConversion"/>
  </si>
  <si>
    <t>교육 준비/실시</t>
    <phoneticPr fontId="34" type="noConversion"/>
  </si>
  <si>
    <t>리뷰/확정</t>
    <phoneticPr fontId="34" type="noConversion"/>
  </si>
  <si>
    <t>SME</t>
    <phoneticPr fontId="34" type="noConversion"/>
  </si>
  <si>
    <t>교재 개발_2차</t>
    <phoneticPr fontId="34" type="noConversion"/>
  </si>
  <si>
    <t>리뷰/보완</t>
    <phoneticPr fontId="34" type="noConversion"/>
  </si>
  <si>
    <t>교재 개발_1차</t>
    <phoneticPr fontId="34" type="noConversion"/>
  </si>
  <si>
    <t>→</t>
    <phoneticPr fontId="34" type="noConversion"/>
  </si>
  <si>
    <t>교재 개발_작성</t>
    <phoneticPr fontId="34" type="noConversion"/>
  </si>
  <si>
    <t>교재 개발</t>
    <phoneticPr fontId="34" type="noConversion"/>
  </si>
  <si>
    <t>교수 설계 (Micro)</t>
    <phoneticPr fontId="34" type="noConversion"/>
  </si>
  <si>
    <t>교수 설계 (Macro)</t>
    <phoneticPr fontId="34" type="noConversion"/>
  </si>
  <si>
    <t>의견 청취 (Owner)</t>
    <phoneticPr fontId="34" type="noConversion"/>
  </si>
  <si>
    <t>11-13</t>
    <phoneticPr fontId="34" type="noConversion"/>
  </si>
  <si>
    <t>교육 요구분석</t>
    <phoneticPr fontId="34" type="noConversion"/>
  </si>
  <si>
    <t>교수 설계</t>
    <phoneticPr fontId="34" type="noConversion"/>
  </si>
  <si>
    <t>계획 보고</t>
    <phoneticPr fontId="34" type="noConversion"/>
  </si>
  <si>
    <t>개발 및 실시 계획 수립</t>
    <phoneticPr fontId="34" type="noConversion"/>
  </si>
  <si>
    <t>계획 수립</t>
    <phoneticPr fontId="34" type="noConversion"/>
  </si>
  <si>
    <t>SME 선발, 유관 부서 소통</t>
    <phoneticPr fontId="44" type="noConversion"/>
  </si>
  <si>
    <t>유관 부서 소통</t>
    <phoneticPr fontId="44" type="noConversion"/>
  </si>
  <si>
    <t>사전 준비</t>
    <phoneticPr fontId="34" type="noConversion"/>
  </si>
  <si>
    <t>22-26</t>
    <phoneticPr fontId="44" type="noConversion"/>
  </si>
  <si>
    <t>15-19</t>
    <phoneticPr fontId="44" type="noConversion"/>
  </si>
  <si>
    <t>8-12</t>
    <phoneticPr fontId="44" type="noConversion"/>
  </si>
  <si>
    <t>1-5</t>
    <phoneticPr fontId="44" type="noConversion"/>
  </si>
  <si>
    <t>25-29</t>
    <phoneticPr fontId="10" type="noConversion"/>
  </si>
  <si>
    <t>18-22</t>
    <phoneticPr fontId="44" type="noConversion"/>
  </si>
  <si>
    <t>11-15</t>
    <phoneticPr fontId="44" type="noConversion"/>
  </si>
  <si>
    <t>4-8</t>
    <phoneticPr fontId="44" type="noConversion"/>
  </si>
  <si>
    <t>27-5/1</t>
    <phoneticPr fontId="44" type="noConversion"/>
  </si>
  <si>
    <t>20-24</t>
    <phoneticPr fontId="34" type="noConversion"/>
  </si>
  <si>
    <t>13-17</t>
    <phoneticPr fontId="44" type="noConversion"/>
  </si>
  <si>
    <t>6-10</t>
    <phoneticPr fontId="44" type="noConversion"/>
  </si>
  <si>
    <t>3/30-3</t>
    <phoneticPr fontId="44" type="noConversion"/>
  </si>
  <si>
    <t>23-27</t>
    <phoneticPr fontId="44" type="noConversion"/>
  </si>
  <si>
    <t>16-20</t>
    <phoneticPr fontId="44" type="noConversion"/>
  </si>
  <si>
    <t>9-13</t>
    <phoneticPr fontId="34" type="noConversion"/>
  </si>
  <si>
    <t>2-6</t>
    <phoneticPr fontId="44" type="noConversion"/>
  </si>
  <si>
    <t>주관</t>
    <phoneticPr fontId="44" type="noConversion"/>
  </si>
  <si>
    <t>Activity</t>
    <phoneticPr fontId="44" type="noConversion"/>
  </si>
  <si>
    <t>과제</t>
    <phoneticPr fontId="44" type="noConversion"/>
  </si>
  <si>
    <t>4w</t>
    <phoneticPr fontId="10" type="noConversion"/>
  </si>
  <si>
    <t>3w</t>
  </si>
  <si>
    <t>2w</t>
  </si>
  <si>
    <t>1w</t>
  </si>
  <si>
    <t>4w</t>
  </si>
  <si>
    <t>5w</t>
  </si>
  <si>
    <t>4w</t>
    <phoneticPr fontId="44" type="noConversion"/>
  </si>
  <si>
    <t>비고</t>
    <phoneticPr fontId="44" type="noConversion"/>
  </si>
  <si>
    <t>6월</t>
    <phoneticPr fontId="44" type="noConversion"/>
  </si>
  <si>
    <t>5월</t>
    <phoneticPr fontId="44" type="noConversion"/>
  </si>
  <si>
    <t>4월</t>
    <phoneticPr fontId="44" type="noConversion"/>
  </si>
  <si>
    <t>3월</t>
    <phoneticPr fontId="44" type="noConversion"/>
  </si>
  <si>
    <t>과정 정보</t>
    <phoneticPr fontId="44" type="noConversion"/>
  </si>
  <si>
    <r>
      <t xml:space="preserve">* </t>
    </r>
    <r>
      <rPr>
        <sz val="10"/>
        <color theme="6" tint="-0.499984740745262"/>
        <rFont val="LG스마트체2.0 Regular"/>
        <family val="3"/>
        <charset val="129"/>
      </rPr>
      <t>휴일</t>
    </r>
    <r>
      <rPr>
        <sz val="10"/>
        <color theme="6" tint="-0.499984740745262"/>
        <rFont val="Arial Narrow"/>
        <family val="2"/>
      </rPr>
      <t xml:space="preserve"> : 4/10, 5/1, 5/5, 5/25, 5/29, 6/3</t>
    </r>
    <phoneticPr fontId="34" type="noConversion"/>
  </si>
  <si>
    <t>단계</t>
    <phoneticPr fontId="44" type="noConversion"/>
  </si>
  <si>
    <t>No.</t>
    <phoneticPr fontId="34" type="noConversion"/>
  </si>
  <si>
    <t>M3. 경영분석/개발기획</t>
    <phoneticPr fontId="2" type="noConversion"/>
  </si>
  <si>
    <t>* 교재개발 Role &amp; SME</t>
    <phoneticPr fontId="34" type="noConversion"/>
  </si>
  <si>
    <t>M1. 경영혁신</t>
    <phoneticPr fontId="2" type="noConversion"/>
  </si>
  <si>
    <t>M2. 상기/R&amp;D 운영</t>
    <phoneticPr fontId="2" type="noConversion"/>
  </si>
  <si>
    <t>개발 엔지니어를 바라보는, 기대하는 사항</t>
    <phoneticPr fontId="2" type="noConversion"/>
  </si>
  <si>
    <t>상품기획</t>
    <phoneticPr fontId="2" type="noConversion"/>
  </si>
  <si>
    <t>공정/제조</t>
    <phoneticPr fontId="2" type="noConversion"/>
  </si>
  <si>
    <t>경영진</t>
    <phoneticPr fontId="2" type="noConversion"/>
  </si>
  <si>
    <t>개발그룹장</t>
    <phoneticPr fontId="2" type="noConversion"/>
  </si>
  <si>
    <t>CEO가 간다 (개발그룹편), CEO 어록 및 회의체 주요 코멘트</t>
    <phoneticPr fontId="2" type="noConversion"/>
  </si>
  <si>
    <t>인터뷰?</t>
    <phoneticPr fontId="2" type="noConversion"/>
  </si>
  <si>
    <t>개발그룹 Part /Project 리더 대상</t>
    <phoneticPr fontId="2" type="noConversion"/>
  </si>
  <si>
    <t>박) 개발 CI는 어느 사업부보다 챌린지 하고 있음, 프로젝트 수가 많음</t>
    <phoneticPr fontId="2" type="noConversion"/>
  </si>
  <si>
    <t>박) 교육이 전사 대상인지, 중형이 Pilot 인지? 예측력향상 W/S 도 중형이 Pilot 하고…</t>
    <phoneticPr fontId="2" type="noConversion"/>
  </si>
  <si>
    <t>안) Pilot 은 대형을 하는게 적절해 보임</t>
    <phoneticPr fontId="2" type="noConversion"/>
  </si>
  <si>
    <t>안) 원가혁신에서 전사 관점의 교육 콘텐츠를 구성하고, 사업부 특화 사례는 사업부에 작성해 달라고 요청하면 될것임</t>
    <phoneticPr fontId="2" type="noConversion"/>
  </si>
  <si>
    <t>안) 원가혁신에서 전사 사례도 파악하고 있을 것임 (구성이 가능함)</t>
    <phoneticPr fontId="2" type="noConversion"/>
  </si>
  <si>
    <t>박) 개발엔지니어 보다 전년과 같이 사무직 구성원 전체를 대상으로 원가혁신 마인드 제고 교육하는 것이 적절하지 않은지? (M1 중심)</t>
    <phoneticPr fontId="2" type="noConversion"/>
  </si>
  <si>
    <t>안) 전사 단위 구성할 것은 전사 차원 (조직) 에서 구성 및 실행 하면 좋겠음, 사례는 표준 샘플을 주고 사업부에 요청하면 될 것임</t>
    <phoneticPr fontId="2" type="noConversion"/>
  </si>
  <si>
    <t>박) 사례를 어떤 유형으로 구성하는지에 대한 방향성을 정해야 상품기획, 개발기획, 경영분석 등 적임자를 선정해 줄수 있음</t>
    <phoneticPr fontId="2" type="noConversion"/>
  </si>
  <si>
    <t>중형기획관리담당 (안유신님, 박종완님),  '26. 03. 25 (수) 15:00~15:30</t>
    <phoneticPr fontId="2" type="noConversion"/>
  </si>
  <si>
    <t>13-15</t>
    <phoneticPr fontId="34" type="noConversion"/>
  </si>
  <si>
    <t>20-22</t>
    <phoneticPr fontId="34" type="noConversion"/>
  </si>
  <si>
    <t>28-30</t>
    <phoneticPr fontId="2" type="noConversion"/>
  </si>
  <si>
    <t>29-30</t>
    <phoneticPr fontId="2" type="noConversion"/>
  </si>
  <si>
    <t>6-8</t>
    <phoneticPr fontId="2" type="noConversion"/>
  </si>
  <si>
    <t>→ 8</t>
    <phoneticPr fontId="34" type="noConversion"/>
  </si>
  <si>
    <t>→ 15</t>
    <phoneticPr fontId="34" type="noConversion"/>
  </si>
  <si>
    <t>27</t>
    <phoneticPr fontId="2" type="noConversion"/>
  </si>
  <si>
    <t>→ 27</t>
    <phoneticPr fontId="34" type="noConversion"/>
  </si>
  <si>
    <t>모듈러 디자인</t>
    <phoneticPr fontId="2" type="noConversion"/>
  </si>
  <si>
    <t>31, 2</t>
    <phoneticPr fontId="2" type="noConversion"/>
  </si>
  <si>
    <t>http://edms.lgdisplay.com:8080/Servlet/ContentViewCmd.document?object_id=3F61F860704FCF46E21AC83286FEFB045C54E99F682A0F820827039053E3EF9D&amp;update_log=0&amp;rendition_type=0&amp;url_copy=1&amp;status=E1100</t>
    <phoneticPr fontId="2" type="noConversion"/>
  </si>
  <si>
    <t>http://edms.lgdisplay.com:8080/Servlet/ContentViewCmd.document?object_id=ZD3EEA46E954E8B02FEA560930346B456C01CB445B316F1C529DB5A4A29650BC0&amp;update_log=0&amp;rendition_type=0&amp;url_copy=1</t>
  </si>
  <si>
    <t>1) 기획관리직군 재무원가관리입문 (2026)</t>
    <phoneticPr fontId="2" type="noConversion"/>
  </si>
  <si>
    <t>http://edms.lgdisplay.com:8080/Servlet/ContentViewCmd.document?object_id=Z0C50C129E59C4ED26BA52FDF23A974E8058E8C11354EB210C668E3949D260C7A&amp;update_log=0&amp;rendition_type=0&amp;url_copy=1</t>
    <phoneticPr fontId="2" type="noConversion"/>
  </si>
  <si>
    <t>1. Openning</t>
  </si>
  <si>
    <t>2. 아이스 브레이킹</t>
  </si>
  <si>
    <t>1. 손익 : 매출총이익, 영업이익, 경상이익, 당기손익, 한계이익</t>
    <phoneticPr fontId="2" type="noConversion"/>
  </si>
  <si>
    <t>2. 원가 : 매출원가, COM/COP</t>
    <phoneticPr fontId="2" type="noConversion"/>
  </si>
  <si>
    <t>3. 비용 : 변동비/고정비, 경비/인건비/재료비/감가상각비, 제조경비/판매비/관리비/연구개발비</t>
    <phoneticPr fontId="2" type="noConversion"/>
  </si>
  <si>
    <t>4. 비용 발생 Flow</t>
    <phoneticPr fontId="2" type="noConversion"/>
  </si>
  <si>
    <t>4. 원가구조의 개선 관점에서...고정비의 변동비 가속화가 필요</t>
    <phoneticPr fontId="2" type="noConversion"/>
  </si>
  <si>
    <t>5. 원가혁신 고도화의 첫 시작은 제품개발/공정개발</t>
    <phoneticPr fontId="2" type="noConversion"/>
  </si>
  <si>
    <t>영상 주소</t>
    <phoneticPr fontId="2" type="noConversion"/>
  </si>
  <si>
    <t>1. 과정 소개</t>
    <phoneticPr fontId="2" type="noConversion"/>
  </si>
  <si>
    <t>양치기 소년</t>
    <phoneticPr fontId="2" type="noConversion"/>
  </si>
  <si>
    <t>2'10"</t>
    <phoneticPr fontId="2" type="noConversion"/>
  </si>
  <si>
    <t>https://www.youtube.com/watch?v=fl8e0EkYQaw</t>
  </si>
  <si>
    <t>핑크소이</t>
    <phoneticPr fontId="2" type="noConversion"/>
  </si>
  <si>
    <t>site</t>
    <phoneticPr fontId="2" type="noConversion"/>
  </si>
  <si>
    <t>아기돼지 삼형제</t>
    <phoneticPr fontId="2" type="noConversion"/>
  </si>
  <si>
    <t>https://www.youtube.com/watch?v=nlvbVe3pqu0</t>
  </si>
  <si>
    <t>6'46"</t>
    <phoneticPr fontId="2" type="noConversion"/>
  </si>
  <si>
    <t>동화실감</t>
    <phoneticPr fontId="2" type="noConversion"/>
  </si>
  <si>
    <t>나보다 나를 믿어준 사람들</t>
    <phoneticPr fontId="2" type="noConversion"/>
  </si>
  <si>
    <t>https://www.youtube.com/watch?v=O2Smaz9SFmw&amp;list=PLAjknVYTdh7PDL3zTBkCqeWNHOJK_TcHM&amp;index=6</t>
    <phoneticPr fontId="2" type="noConversion"/>
  </si>
  <si>
    <t>엔지니어가 미래다</t>
    <phoneticPr fontId="2" type="noConversion"/>
  </si>
  <si>
    <t>https://www.youtube.com/watch?v=9Jo2DJ_o6BU&amp;list=PLAjknVYTdh7PDL3zTBkCqeWNHOJK_TcHM&amp;index=2</t>
    <phoneticPr fontId="2" type="noConversion"/>
  </si>
  <si>
    <t>한번쯤은 승부수를 던져야 한다</t>
    <phoneticPr fontId="2" type="noConversion"/>
  </si>
  <si>
    <t>https://www.youtube.com/watch?v=9_NtkTi7hqI&amp;list=PLAjknVYTdh7PDL3zTBkCqeWNHOJK_TcHM&amp;index=7&amp;t=13s</t>
    <phoneticPr fontId="2" type="noConversion"/>
  </si>
  <si>
    <t>3분 34초 부터</t>
    <phoneticPr fontId="2" type="noConversion"/>
  </si>
  <si>
    <t>할수 있다고 믿으세요</t>
    <phoneticPr fontId="2" type="noConversion"/>
  </si>
  <si>
    <t>https://www.youtube.com/watch?v=IvtQfo3c5R0</t>
    <phoneticPr fontId="2" type="noConversion"/>
  </si>
  <si>
    <t>원래 그런건 없다</t>
    <phoneticPr fontId="2" type="noConversion"/>
  </si>
  <si>
    <t>https://www.youtube.com/watch?v=Evv7mmwXASg&amp;list=PLAjknVYTdh7PDL3zTBkCqeWNHOJK_TcHM&amp;index=1</t>
    <phoneticPr fontId="2" type="noConversion"/>
  </si>
  <si>
    <t>1퍼센트 마인드셋</t>
    <phoneticPr fontId="2" type="noConversion"/>
  </si>
  <si>
    <t>https://www.youtube.com/watch?v=QIaSJ3LfDeM</t>
    <phoneticPr fontId="2" type="noConversion"/>
  </si>
  <si>
    <t>각오만 하더라도 뇌가 바뀐다</t>
    <phoneticPr fontId="2" type="noConversion"/>
  </si>
  <si>
    <t>https://www.youtube.com/watch?v=sdyCOTxGQqQ</t>
    <phoneticPr fontId="2" type="noConversion"/>
  </si>
  <si>
    <t>성공하는 사람들의 생각법</t>
    <phoneticPr fontId="2" type="noConversion"/>
  </si>
  <si>
    <t>https://www.youtube.com/watch?v=GYdt4D4SjL0&amp;list=PLAjknVYTdh7PDL3zTBkCqeWNHOJK_TcHM&amp;index=5</t>
    <phoneticPr fontId="2" type="noConversion"/>
  </si>
  <si>
    <t>삼진어묵</t>
    <phoneticPr fontId="2" type="noConversion"/>
  </si>
  <si>
    <t>https://www.youtube.com/watch?v=bdi2Had5jNY&amp;list=PLAjknVYTdh7PDL3zTBkCqeWNHOJK_TcHM&amp;index=3</t>
    <phoneticPr fontId="2" type="noConversion"/>
  </si>
  <si>
    <t>1'26"</t>
    <phoneticPr fontId="2" type="noConversion"/>
  </si>
  <si>
    <t>1'30"</t>
    <phoneticPr fontId="2" type="noConversion"/>
  </si>
  <si>
    <t>1'25"</t>
    <phoneticPr fontId="2" type="noConversion"/>
  </si>
  <si>
    <t>50"</t>
    <phoneticPr fontId="2" type="noConversion"/>
  </si>
  <si>
    <t>중간</t>
    <phoneticPr fontId="2" type="noConversion"/>
  </si>
  <si>
    <t>편집필요</t>
    <phoneticPr fontId="2" type="noConversion"/>
  </si>
  <si>
    <t>https://www.youtube.com/watch?v=XEcSLEpckCQ</t>
    <phoneticPr fontId="2" type="noConversion"/>
  </si>
  <si>
    <t>https://www.youtube.com/watch?v=czMdgcjrN6A</t>
    <phoneticPr fontId="2" type="noConversion"/>
  </si>
  <si>
    <t xml:space="preserve">6. C : Q/D  ok,  판가 하락 이상의 CI 가 필요하다. </t>
    <phoneticPr fontId="2" type="noConversion"/>
  </si>
  <si>
    <t>남수미님</t>
    <phoneticPr fontId="2" type="noConversion"/>
  </si>
  <si>
    <t>개발그룹 Part /프로젝트 리더 대상</t>
    <phoneticPr fontId="2" type="noConversion"/>
  </si>
  <si>
    <t>2. 오프닝 영상 (회사 발자취 및 개발 엔지니어의 역할 인정과 격려 메시지)</t>
    <phoneticPr fontId="2" type="noConversion"/>
  </si>
  <si>
    <t>1. 아이스 브레이킹 설명</t>
    <phoneticPr fontId="2" type="noConversion"/>
  </si>
  <si>
    <t>영상 속에는 회사의 성장 과정과 지금의 위치, 그리고 앞으로의 방향이 담겨 있습니다. 이제 그 흐름을 기준으로
각자의 역할을 한번 연결해 보겠습니다.</t>
    <phoneticPr fontId="2" type="noConversion"/>
  </si>
  <si>
    <t>회사의 이야기를 “과거 - 현재 - 미래” 세 구간으로 나누고, 각 구간을 한 단어로 정리한 뒤, 마지막에 그 안에서 나의 역할을 연결해 보겠습니다.</t>
    <phoneticPr fontId="2" type="noConversion"/>
  </si>
  <si>
    <t>작성하신 내용을 조별로 돌아가면서 간단히 공유해 주세요. 한 분당 30초 정도, 편하게 키워드 중심으로 말씀해 주시면 됩니다.</t>
    <phoneticPr fontId="2" type="noConversion"/>
  </si>
  <si>
    <t>2. 개인별 작성 (별도 개인 템플릿 혹은 조별 포스트 잇)</t>
    <phoneticPr fontId="2" type="noConversion"/>
  </si>
  <si>
    <t>1. 개발원가관리란 개발 단계에서 원가분석, 손익점검을 통해 원가 절감을 꾀하는 활동</t>
  </si>
  <si>
    <t>2. 연구~설계 단계에서 원가의 90% 이상이 결정 된다.</t>
  </si>
  <si>
    <t>3. 양산 후에는 설계 변경을 통한 원가절감이 어렵다.</t>
  </si>
  <si>
    <t>4. Q : 품질이 확보되어야 Biz. 기회가 있다.</t>
  </si>
  <si>
    <t>5. D : 적기개발이 원가 및 수익성에 긍정 영향을 미친다.</t>
  </si>
  <si>
    <t>3. 개인별/조별 발표 (조별, 대표 2건 /전체)</t>
    <phoneticPr fontId="2" type="noConversion"/>
  </si>
  <si>
    <t>최기석님</t>
    <phoneticPr fontId="2" type="noConversion"/>
  </si>
  <si>
    <t>김용태</t>
    <phoneticPr fontId="2" type="noConversion"/>
  </si>
  <si>
    <t>4/14(화)</t>
    <phoneticPr fontId="2" type="noConversion"/>
  </si>
  <si>
    <t>M1. 원가혁신 Mindset
(1hr)
"원가혁신의 필요성과 연구개발의 중요성을 공감한다."
SME : 경영혁신</t>
    <phoneticPr fontId="10" type="noConversion"/>
  </si>
  <si>
    <t>1. Quiz 를 통해 Module 1 주요 내용을 Wrap up 함 (퀴즈앤 활용)</t>
    <phoneticPr fontId="2" type="noConversion"/>
  </si>
  <si>
    <t>지금 나온 이야기들을 보면 회사의 흐름 속에서 개인의 역할이 자연스럽게 연결되고 있는 것 같습니다.
결국 파트/프로젝트 리더는 이 흐름 속에서 방향을 이해하고 그 방향으로 이끄는 역할을 하게 됩니다.
오늘 교육에서 그 역할을 어떻게 더 잘 수행할 수 있을지 인사이트를 얻어 가시기를 기대해봅니다.</t>
    <phoneticPr fontId="2" type="noConversion"/>
  </si>
  <si>
    <t>4. 아이스 브레이킹 마무리 및 재무/원가 기본 내용 연결</t>
    <phoneticPr fontId="2" type="noConversion"/>
  </si>
  <si>
    <t>0. 들어 가면서</t>
    <phoneticPr fontId="2" type="noConversion"/>
  </si>
  <si>
    <t>1. 플랫폼/구조 변경 사례</t>
    <phoneticPr fontId="2" type="noConversion"/>
  </si>
  <si>
    <t>1. 중형) TN -&gt; IPS 사례</t>
    <phoneticPr fontId="2" type="noConversion"/>
  </si>
  <si>
    <t>2. 차별화 기술 사례</t>
    <phoneticPr fontId="2" type="noConversion"/>
  </si>
  <si>
    <t>1. 중형) IPS Black 모델 사례</t>
    <phoneticPr fontId="2" type="noConversion"/>
  </si>
  <si>
    <t>3. 적극적/지속적 CI 사례</t>
    <phoneticPr fontId="2" type="noConversion"/>
  </si>
  <si>
    <t>1. 대형) 비티아즈 모델</t>
    <phoneticPr fontId="2" type="noConversion"/>
  </si>
  <si>
    <t>2. 중형) 플러스 모델</t>
    <phoneticPr fontId="2" type="noConversion"/>
  </si>
  <si>
    <t>M2. 원가/수익성 Case Study
(1hr)
"원가/수익 중심 사고를 함양한다."
SME : 상품기획/R&amp;D운영</t>
    <phoneticPr fontId="10" type="noConversion"/>
  </si>
  <si>
    <t>1. 주요 모델/기술의 사례 학습을 통해 원가 및 수익 중심 사고를 함양한다.</t>
    <phoneticPr fontId="2" type="noConversion"/>
  </si>
  <si>
    <t>1. Quiz 를 통해 Module 2 주요 내용을 Wrap up 함 (퀴즈앤 활용)</t>
    <phoneticPr fontId="2" type="noConversion"/>
  </si>
  <si>
    <t>M3. 원가/수익성 Sim. Game
(2hr)
"원가/수익 중심 사고를 내재화 한다."
SME : 경영분석/개발기획</t>
    <phoneticPr fontId="10" type="noConversion"/>
  </si>
  <si>
    <t>2. 대형) Tandem OLED 제품 사례 (대형 검토/소통 필요)</t>
    <phoneticPr fontId="2" type="noConversion"/>
  </si>
  <si>
    <t>2. 대형) OLED SE 제품 사례 (대형 검토/소통 필요)</t>
    <phoneticPr fontId="2" type="noConversion"/>
  </si>
  <si>
    <t>1. 재무/원가 기본 내용을 Remind 하고, 원가/수익성 Sim. 실습을 통해 원가/수익 중심 사고를 내재화 한다.</t>
    <phoneticPr fontId="2" type="noConversion"/>
  </si>
  <si>
    <t>0. 원가 구조 COP 구조 및 주요 Factor</t>
  </si>
  <si>
    <t>1. 재료비 : 정의/산출법, L2C 예시, 설계 CI 에 좌우, 소요 재료비 산식</t>
  </si>
  <si>
    <t>2. 가공비 : 정의/산출법</t>
  </si>
  <si>
    <t>3. 판관비 : 정의/산출법</t>
  </si>
  <si>
    <t>실습</t>
  </si>
  <si>
    <t>web/mobile</t>
    <phoneticPr fontId="2" type="noConversion"/>
  </si>
  <si>
    <t xml:space="preserve">    Sim. 예제 - 1) 재료비/수율변화</t>
    <phoneticPr fontId="2" type="noConversion"/>
  </si>
  <si>
    <t xml:space="preserve">    Sim. 예제 - 2) 면취수/Mask 변화</t>
    <phoneticPr fontId="2" type="noConversion"/>
  </si>
  <si>
    <t xml:space="preserve">    Sim. 예제 - 3) 개조투자 및 Tact time 변화</t>
    <phoneticPr fontId="2" type="noConversion"/>
  </si>
  <si>
    <t xml:space="preserve">    Sim. 예제 - 4) Loading 변화</t>
    <phoneticPr fontId="2" type="noConversion"/>
  </si>
  <si>
    <t>2. 원가 구조와 주요 Factor</t>
    <phoneticPr fontId="2" type="noConversion"/>
  </si>
  <si>
    <t>1. 재무/원가 기본</t>
    <phoneticPr fontId="2" type="noConversion"/>
  </si>
  <si>
    <t>1. 주요 Factor 별 원가 및 수익 영향을 Simulation 하고, 수익 중심의 사고를 내재화 한다. (Sim. 방법 설명)</t>
    <phoneticPr fontId="2" type="noConversion"/>
  </si>
  <si>
    <t>1. Wrap up 영상 (할수 있다고 믿으세요.)</t>
    <phoneticPr fontId="2" type="noConversion"/>
  </si>
  <si>
    <t>2. 과정 Closing</t>
    <phoneticPr fontId="2" type="noConversion"/>
  </si>
  <si>
    <t>3. 주요 Factor별 원가영향 (Simulation)</t>
    <phoneticPr fontId="2" type="noConversion"/>
  </si>
  <si>
    <t>14-15</t>
    <phoneticPr fontId="2" type="noConversion"/>
  </si>
  <si>
    <t>23-24</t>
    <phoneticPr fontId="2" type="noConversion"/>
  </si>
  <si>
    <t>* 교재개발 단기 집중 Task 실시 (7일) : 3/31, 4/2, 4/14~16, 4/21-22</t>
    <phoneticPr fontId="34" type="noConversion"/>
  </si>
  <si>
    <t>. 박지혁님 출장 (4/14~24) 으로 사례개발 4월말~5월초 예상</t>
    <phoneticPr fontId="2" type="noConversion"/>
  </si>
  <si>
    <t>. 손수미님 CTO 보고 (4/30)</t>
    <phoneticPr fontId="2" type="noConversion"/>
  </si>
  <si>
    <t>. 최기석/손수미님 : 4월 2주차 경영회의 (4/9) 자료 준비로 여유 없음</t>
    <phoneticPr fontId="2" type="noConversion"/>
  </si>
  <si>
    <t>4. 외부 사례</t>
    <phoneticPr fontId="2" type="noConversion"/>
  </si>
  <si>
    <t>1. 하이닉스 사례</t>
    <phoneticPr fontId="2" type="noConversion"/>
  </si>
  <si>
    <t>발굴 검토</t>
    <phoneticPr fontId="2" type="noConversion"/>
  </si>
  <si>
    <t xml:space="preserve">경영혁신담당 (성기훈/강지만님), '26. 03. 16 (월) 09:30~10:00 </t>
    <phoneticPr fontId="2" type="noConversion"/>
  </si>
  <si>
    <t>강/용) 취지/배경 설명 및 과정 오너십/인원 요청</t>
    <phoneticPr fontId="2" type="noConversion"/>
  </si>
  <si>
    <t>키 멤버/리더 (강지만/최기석/김세훈/남수미님). '26. 03. 23 (월) 15:00~15:30</t>
    <phoneticPr fontId="2" type="noConversion"/>
  </si>
  <si>
    <t>강/용) 키멤버 및 조직 역할 재 안내/소통</t>
    <phoneticPr fontId="2" type="noConversion"/>
  </si>
  <si>
    <t>교수설계 W/S</t>
    <phoneticPr fontId="2" type="noConversion"/>
  </si>
  <si>
    <t>3. 자사 Biz. 상황과 원가혁신 필요성</t>
    <phoneticPr fontId="2" type="noConversion"/>
  </si>
  <si>
    <t>4. 원가/수익성 관점에서 개발의 중요성</t>
    <phoneticPr fontId="2" type="noConversion"/>
  </si>
  <si>
    <t>19"</t>
    <phoneticPr fontId="2" type="noConversion"/>
  </si>
  <si>
    <t>중간 (M1. 레슨4 시작)</t>
    <phoneticPr fontId="2" type="noConversion"/>
  </si>
  <si>
    <t>중간 (M1. 레슨3 시작)</t>
    <phoneticPr fontId="2" type="noConversion"/>
  </si>
  <si>
    <t>M2 혹은 M3 엔딩</t>
    <phoneticPr fontId="2" type="noConversion"/>
  </si>
  <si>
    <t>휴식시간</t>
    <phoneticPr fontId="2" type="noConversion"/>
  </si>
  <si>
    <t>1. ’12년을 정점으로 매출은 감소, 크리스털 라이프사이클이 더 이상 유효하지 않음, ’23년 이후 손익이 점차 개선되고 있음</t>
    <phoneticPr fontId="2" type="noConversion"/>
  </si>
  <si>
    <t>0. 생각해 봅시다. 우리는 양치기 소년 우화에 나오는 주민들 처럼 위기에 무덤덤해 지지 않았는지? (양치기 소년 영상)</t>
    <phoneticPr fontId="2" type="noConversion"/>
  </si>
  <si>
    <t>2. 판가하락/고정비부담/원가상승/경상투자등이 수익성 압박, 매년 1.5조 수준의 원가 악화요인 발생, 생존을 위한 원가 절감이 필요</t>
    <phoneticPr fontId="2" type="noConversion"/>
  </si>
  <si>
    <t>3. 결과/비용 중심에서 계획/이익확보 중심 사고로 전환이 필요 (어떠한 환경에서도 이익을 내야함)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</si>
</sst>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* #,##0.0_-;\-* #,##0.0_-;_-* &quot;-&quot;_-;_-@_-"/>
    <numFmt numFmtId="177" formatCode="m&quot;/&quot;d;@"/>
    <numFmt numFmtId="178" formatCode="_-* #,##0.00_-;\-* #,##0.00_-;_-* &quot;-&quot;_-;_-@_-"/>
    <numFmt numFmtId="179" formatCode="mm&quot;월&quot;\ dd&quot;일&quot;"/>
    <numFmt numFmtId="180" formatCode="_(* #,##0_);_(* \(#,##0\);_(* &quot;-&quot;_);_(@_)"/>
  </numFmts>
  <fonts count="53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0"/>
      <color theme="0" tint="-0.249977111117893"/>
      <name val="LG스마트체2.0 Regular"/>
      <family val="3"/>
      <charset val="129"/>
    </font>
    <font>
      <sz val="9"/>
      <color theme="1"/>
      <name val="LG스마트체2.0 Regular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u/>
      <sz val="10"/>
      <color theme="10"/>
      <name val="맑은 고딕"/>
      <family val="2"/>
      <charset val="129"/>
    </font>
    <font>
      <b/>
      <sz val="10"/>
      <name val="LG스마트체2.0 Regular"/>
      <family val="3"/>
      <charset val="129"/>
    </font>
    <font>
      <b/>
      <sz val="10"/>
      <color rgb="FFC00000"/>
      <name val="LG스마트체2.0 Regular"/>
      <family val="3"/>
      <charset val="129"/>
    </font>
    <font>
      <sz val="10"/>
      <color rgb="FF0070C0"/>
      <name val="LG스마트체2.0 Regular"/>
      <family val="3"/>
      <charset val="129"/>
    </font>
    <font>
      <sz val="10"/>
      <color theme="0" tint="-0.499984740745262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LG스마트체 SemiBold"/>
      <family val="3"/>
      <charset val="129"/>
    </font>
    <font>
      <u/>
      <sz val="8"/>
      <color theme="10"/>
      <name val="맑은 고딕"/>
      <family val="2"/>
      <charset val="129"/>
    </font>
    <font>
      <u/>
      <sz val="8"/>
      <color theme="10"/>
      <name val="맑은 고딕"/>
      <family val="3"/>
      <charset val="129"/>
    </font>
    <font>
      <u/>
      <sz val="8"/>
      <color theme="0" tint="-0.499984740745262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u/>
      <sz val="8"/>
      <color theme="0" tint="-0.499984740745262"/>
      <name val="맑은 고딕"/>
      <family val="2"/>
      <charset val="129"/>
    </font>
    <font>
      <sz val="11"/>
      <name val="돋움"/>
      <family val="3"/>
      <charset val="129"/>
    </font>
    <font>
      <sz val="11"/>
      <name val="LG스마트체2.0 Regular"/>
      <family val="3"/>
      <charset val="129"/>
    </font>
    <font>
      <sz val="8"/>
      <name val="LG스마트체2.0 Regular"/>
      <family val="2"/>
      <charset val="129"/>
    </font>
    <font>
      <sz val="10"/>
      <color theme="1"/>
      <name val="Arial Narrow"/>
      <family val="2"/>
    </font>
    <font>
      <u/>
      <sz val="10"/>
      <color theme="1"/>
      <name val="Arial Narrow"/>
      <family val="2"/>
    </font>
    <font>
      <sz val="10"/>
      <color theme="1" tint="0.14999847407452621"/>
      <name val="Arial Narrow"/>
      <family val="2"/>
    </font>
    <font>
      <sz val="10"/>
      <color theme="1"/>
      <name val="LG스마트체2.0 Regular"/>
      <family val="2"/>
      <charset val="129"/>
    </font>
    <font>
      <sz val="10"/>
      <color theme="1" tint="4.9989318521683403E-2"/>
      <name val="Arial Narrow"/>
      <family val="2"/>
    </font>
    <font>
      <sz val="8"/>
      <color theme="6" tint="-0.249977111117893"/>
      <name val="LG스마트체2.0 Regular"/>
      <family val="2"/>
      <charset val="129"/>
    </font>
    <font>
      <sz val="8"/>
      <color rgb="FF0070C0"/>
      <name val="LG스마트체2.0 Regular"/>
      <family val="3"/>
      <charset val="129"/>
    </font>
    <font>
      <sz val="8"/>
      <color rgb="FF0070C0"/>
      <name val="LG스마트체2.0 Regular"/>
      <family val="2"/>
      <charset val="129"/>
    </font>
    <font>
      <sz val="10"/>
      <color theme="1" tint="4.9989318521683403E-2"/>
      <name val="LG스마트체2.0 Regular"/>
      <family val="2"/>
      <charset val="129"/>
    </font>
    <font>
      <sz val="8"/>
      <name val="돋움"/>
      <family val="3"/>
      <charset val="129"/>
    </font>
    <font>
      <b/>
      <sz val="10"/>
      <color indexed="8"/>
      <name val="LG스마트체2.0 Regular"/>
      <family val="3"/>
      <charset val="129"/>
    </font>
    <font>
      <sz val="10"/>
      <color indexed="8"/>
      <name val="Arial Narrow"/>
      <family val="2"/>
    </font>
    <font>
      <sz val="10"/>
      <color theme="1"/>
      <name val="Arial Narrow"/>
      <family val="3"/>
    </font>
    <font>
      <sz val="14"/>
      <color theme="1"/>
      <name val="LG스마트체2.0 Regular"/>
      <family val="3"/>
      <charset val="129"/>
    </font>
    <font>
      <b/>
      <sz val="10"/>
      <color indexed="8"/>
      <name val="Arial Narrow"/>
      <family val="2"/>
    </font>
    <font>
      <sz val="10"/>
      <color theme="6" tint="-0.499984740745262"/>
      <name val="Arial Narrow"/>
      <family val="2"/>
    </font>
    <font>
      <sz val="10"/>
      <color theme="6" tint="-0.499984740745262"/>
      <name val="LG스마트체2.0 Regular"/>
      <family val="3"/>
      <charset val="129"/>
    </font>
    <font>
      <sz val="10"/>
      <color theme="0" tint="-0.34998626667073579"/>
      <name val="LG스마트체2.0 Regula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hair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hair">
        <color theme="1" tint="0.499984740745262"/>
      </bottom>
      <diagonal/>
    </border>
    <border>
      <left/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/>
      <diagonal/>
    </border>
    <border>
      <left/>
      <right style="thin">
        <color theme="1" tint="0.499984740745262"/>
      </right>
      <top style="hair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0" tint="-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dotted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dotted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dott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tted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double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2" fillId="0" borderId="0"/>
    <xf numFmtId="0" fontId="32" fillId="0" borderId="0">
      <alignment vertical="center"/>
    </xf>
    <xf numFmtId="0" fontId="32" fillId="0" borderId="0">
      <alignment vertical="center"/>
    </xf>
    <xf numFmtId="180" fontId="3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2" fillId="0" borderId="0">
      <alignment vertical="center"/>
    </xf>
  </cellStyleXfs>
  <cellXfs count="351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0" borderId="1" xfId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1" fontId="3" fillId="0" borderId="7" xfId="1" applyFont="1" applyFill="1" applyBorder="1" applyAlignment="1">
      <alignment horizontal="left" vertical="center" wrapText="1"/>
    </xf>
    <xf numFmtId="41" fontId="3" fillId="0" borderId="6" xfId="1" applyFont="1" applyFill="1" applyBorder="1" applyAlignment="1">
      <alignment horizontal="left" vertical="center" wrapText="1"/>
    </xf>
    <xf numFmtId="41" fontId="3" fillId="0" borderId="2" xfId="1" applyFont="1" applyFill="1" applyBorder="1" applyAlignment="1">
      <alignment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1" fontId="3" fillId="0" borderId="7" xfId="1" applyFont="1" applyBorder="1" applyAlignment="1">
      <alignment horizontal="left" vertical="center" wrapText="1"/>
    </xf>
    <xf numFmtId="41" fontId="3" fillId="0" borderId="6" xfId="1" applyFont="1" applyBorder="1" applyAlignment="1">
      <alignment horizontal="left" vertical="center" wrapText="1"/>
    </xf>
    <xf numFmtId="41" fontId="3" fillId="0" borderId="5" xfId="1" applyFont="1" applyFill="1" applyBorder="1" applyAlignment="1">
      <alignment horizontal="center" vertical="center" wrapText="1"/>
    </xf>
    <xf numFmtId="0" fontId="3" fillId="0" borderId="0" xfId="0" quotePrefix="1" applyFont="1" applyAlignment="1">
      <alignment vertical="center" wrapText="1"/>
    </xf>
    <xf numFmtId="176" fontId="3" fillId="0" borderId="9" xfId="1" applyNumberFormat="1" applyFont="1" applyFill="1" applyBorder="1" applyAlignment="1">
      <alignment vertical="center" wrapText="1"/>
    </xf>
    <xf numFmtId="176" fontId="3" fillId="0" borderId="5" xfId="1" applyNumberFormat="1" applyFont="1" applyFill="1" applyBorder="1" applyAlignment="1">
      <alignment vertical="center" wrapText="1"/>
    </xf>
    <xf numFmtId="0" fontId="4" fillId="0" borderId="0" xfId="0" quotePrefix="1" applyFont="1" applyAlignment="1">
      <alignment vertical="center" wrapText="1"/>
    </xf>
    <xf numFmtId="41" fontId="3" fillId="0" borderId="9" xfId="1" applyFont="1" applyFill="1" applyBorder="1" applyAlignment="1">
      <alignment horizontal="center" vertical="center" wrapText="1"/>
    </xf>
    <xf numFmtId="176" fontId="4" fillId="0" borderId="5" xfId="1" applyNumberFormat="1" applyFont="1" applyFill="1" applyBorder="1" applyAlignment="1">
      <alignment vertical="center" wrapText="1"/>
    </xf>
    <xf numFmtId="41" fontId="3" fillId="0" borderId="9" xfId="1" applyFont="1" applyFill="1" applyBorder="1" applyAlignment="1">
      <alignment vertical="center" wrapText="1"/>
    </xf>
    <xf numFmtId="41" fontId="3" fillId="0" borderId="5" xfId="1" applyFont="1" applyFill="1" applyBorder="1" applyAlignment="1">
      <alignment vertical="center" wrapText="1"/>
    </xf>
    <xf numFmtId="41" fontId="3" fillId="0" borderId="1" xfId="1" quotePrefix="1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41" fontId="9" fillId="0" borderId="0" xfId="5" applyFont="1" applyAlignment="1">
      <alignment horizontal="left" vertical="center"/>
    </xf>
    <xf numFmtId="49" fontId="9" fillId="0" borderId="0" xfId="2" applyNumberFormat="1" applyFont="1">
      <alignment vertical="center"/>
    </xf>
    <xf numFmtId="0" fontId="15" fillId="2" borderId="1" xfId="2" applyFont="1" applyFill="1" applyBorder="1" applyAlignment="1">
      <alignment horizontal="center" vertical="center" wrapText="1"/>
    </xf>
    <xf numFmtId="0" fontId="15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49" fontId="15" fillId="2" borderId="2" xfId="2" applyNumberFormat="1" applyFont="1" applyFill="1" applyBorder="1" applyAlignment="1">
      <alignment horizontal="center" vertical="center" wrapText="1"/>
    </xf>
    <xf numFmtId="0" fontId="3" fillId="0" borderId="10" xfId="4" applyFont="1" applyBorder="1" applyAlignment="1">
      <alignment horizontal="left" vertical="center" wrapText="1" readingOrder="1"/>
    </xf>
    <xf numFmtId="0" fontId="3" fillId="0" borderId="11" xfId="4" applyFont="1" applyBorder="1" applyAlignment="1">
      <alignment horizontal="left" vertical="center" wrapText="1" readingOrder="1"/>
    </xf>
    <xf numFmtId="41" fontId="18" fillId="0" borderId="7" xfId="1" applyFont="1" applyBorder="1" applyAlignment="1">
      <alignment horizontal="left" vertical="center" wrapText="1"/>
    </xf>
    <xf numFmtId="41" fontId="18" fillId="0" borderId="6" xfId="1" applyFont="1" applyBorder="1" applyAlignment="1">
      <alignment horizontal="left" vertical="center" wrapText="1"/>
    </xf>
    <xf numFmtId="41" fontId="18" fillId="0" borderId="1" xfId="1" applyFont="1" applyFill="1" applyBorder="1" applyAlignment="1">
      <alignment vertical="center" wrapText="1"/>
    </xf>
    <xf numFmtId="0" fontId="3" fillId="0" borderId="12" xfId="4" applyFont="1" applyBorder="1" applyAlignment="1">
      <alignment horizontal="left" vertical="center" wrapText="1" readingOrder="1"/>
    </xf>
    <xf numFmtId="49" fontId="3" fillId="3" borderId="3" xfId="2" applyNumberFormat="1" applyFont="1" applyFill="1" applyBorder="1" applyAlignment="1">
      <alignment vertical="center" wrapText="1"/>
    </xf>
    <xf numFmtId="49" fontId="3" fillId="3" borderId="4" xfId="2" applyNumberFormat="1" applyFont="1" applyFill="1" applyBorder="1" applyAlignment="1">
      <alignment vertical="center" wrapText="1"/>
    </xf>
    <xf numFmtId="0" fontId="3" fillId="0" borderId="2" xfId="4" applyFont="1" applyBorder="1" applyAlignment="1">
      <alignment horizontal="center" vertical="center" wrapText="1" readingOrder="1"/>
    </xf>
    <xf numFmtId="0" fontId="3" fillId="0" borderId="3" xfId="4" applyFont="1" applyBorder="1" applyAlignment="1">
      <alignment horizontal="center" vertical="center" wrapText="1" readingOrder="1"/>
    </xf>
    <xf numFmtId="0" fontId="3" fillId="0" borderId="13" xfId="4" applyFont="1" applyBorder="1" applyAlignment="1">
      <alignment horizontal="left" vertical="center" wrapText="1" readingOrder="1"/>
    </xf>
    <xf numFmtId="0" fontId="3" fillId="0" borderId="4" xfId="4" applyFont="1" applyBorder="1" applyAlignment="1">
      <alignment horizontal="center" vertical="center" wrapText="1" readingOrder="1"/>
    </xf>
    <xf numFmtId="49" fontId="3" fillId="3" borderId="2" xfId="2" applyNumberFormat="1" applyFont="1" applyFill="1" applyBorder="1" applyAlignment="1">
      <alignment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18" fillId="0" borderId="6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right" vertical="center" wrapText="1"/>
    </xf>
    <xf numFmtId="49" fontId="18" fillId="0" borderId="5" xfId="0" applyNumberFormat="1" applyFont="1" applyBorder="1" applyAlignment="1">
      <alignment horizontal="right" vertical="center" wrapText="1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41" fontId="18" fillId="0" borderId="2" xfId="1" applyFont="1" applyFill="1" applyBorder="1" applyAlignment="1">
      <alignment vertical="center" wrapText="1"/>
    </xf>
    <xf numFmtId="41" fontId="18" fillId="0" borderId="9" xfId="1" applyFont="1" applyFill="1" applyBorder="1" applyAlignment="1">
      <alignment vertical="center" wrapText="1"/>
    </xf>
    <xf numFmtId="41" fontId="18" fillId="0" borderId="9" xfId="1" applyFont="1" applyFill="1" applyBorder="1" applyAlignment="1">
      <alignment horizontal="center" vertical="center" wrapText="1"/>
    </xf>
    <xf numFmtId="176" fontId="18" fillId="0" borderId="9" xfId="1" applyNumberFormat="1" applyFont="1" applyFill="1" applyBorder="1" applyAlignment="1">
      <alignment vertical="center" wrapText="1"/>
    </xf>
    <xf numFmtId="41" fontId="18" fillId="0" borderId="5" xfId="1" applyFont="1" applyFill="1" applyBorder="1" applyAlignment="1">
      <alignment vertical="center" wrapText="1"/>
    </xf>
    <xf numFmtId="41" fontId="18" fillId="0" borderId="5" xfId="1" applyFont="1" applyFill="1" applyBorder="1" applyAlignment="1">
      <alignment horizontal="center" vertical="center" wrapText="1"/>
    </xf>
    <xf numFmtId="41" fontId="18" fillId="0" borderId="7" xfId="1" applyFont="1" applyFill="1" applyBorder="1" applyAlignment="1">
      <alignment horizontal="left" vertical="center" wrapText="1"/>
    </xf>
    <xf numFmtId="41" fontId="18" fillId="0" borderId="6" xfId="1" applyFont="1" applyFill="1" applyBorder="1" applyAlignment="1">
      <alignment horizontal="left" vertical="center" wrapText="1"/>
    </xf>
    <xf numFmtId="0" fontId="3" fillId="0" borderId="10" xfId="4" applyFont="1" applyBorder="1" applyAlignment="1">
      <alignment vertical="center" wrapText="1" readingOrder="1"/>
    </xf>
    <xf numFmtId="0" fontId="3" fillId="0" borderId="11" xfId="4" applyFont="1" applyBorder="1" applyAlignment="1">
      <alignment vertical="center" wrapText="1" readingOrder="1"/>
    </xf>
    <xf numFmtId="41" fontId="3" fillId="3" borderId="10" xfId="1" applyFont="1" applyFill="1" applyBorder="1" applyAlignment="1">
      <alignment vertical="center" wrapText="1"/>
    </xf>
    <xf numFmtId="41" fontId="3" fillId="3" borderId="11" xfId="1" applyFont="1" applyFill="1" applyBorder="1" applyAlignment="1">
      <alignment vertical="center" wrapText="1"/>
    </xf>
    <xf numFmtId="0" fontId="3" fillId="0" borderId="12" xfId="4" applyFont="1" applyBorder="1" applyAlignment="1">
      <alignment vertical="center" wrapText="1" readingOrder="1"/>
    </xf>
    <xf numFmtId="41" fontId="3" fillId="3" borderId="12" xfId="1" applyFont="1" applyFill="1" applyBorder="1" applyAlignment="1">
      <alignment vertical="center" wrapText="1"/>
    </xf>
    <xf numFmtId="0" fontId="3" fillId="0" borderId="14" xfId="4" applyFont="1" applyBorder="1" applyAlignment="1">
      <alignment horizontal="center" vertical="center" wrapText="1" readingOrder="1"/>
    </xf>
    <xf numFmtId="49" fontId="3" fillId="3" borderId="14" xfId="2" applyNumberFormat="1" applyFont="1" applyFill="1" applyBorder="1" applyAlignment="1">
      <alignment vertical="center" wrapText="1"/>
    </xf>
    <xf numFmtId="0" fontId="18" fillId="0" borderId="16" xfId="4" applyFont="1" applyBorder="1" applyAlignment="1">
      <alignment horizontal="center" vertical="center" wrapText="1" readingOrder="1"/>
    </xf>
    <xf numFmtId="0" fontId="18" fillId="0" borderId="17" xfId="4" applyFont="1" applyBorder="1" applyAlignment="1">
      <alignment horizontal="center" vertical="center" wrapText="1" readingOrder="1"/>
    </xf>
    <xf numFmtId="0" fontId="3" fillId="0" borderId="18" xfId="4" applyFont="1" applyBorder="1" applyAlignment="1">
      <alignment horizontal="center" vertical="center" wrapText="1" readingOrder="1"/>
    </xf>
    <xf numFmtId="0" fontId="3" fillId="0" borderId="19" xfId="4" applyFont="1" applyBorder="1" applyAlignment="1">
      <alignment horizontal="center" vertical="center" wrapText="1" readingOrder="1"/>
    </xf>
    <xf numFmtId="177" fontId="5" fillId="3" borderId="14" xfId="2" quotePrefix="1" applyNumberFormat="1" applyFont="1" applyFill="1" applyBorder="1" applyAlignment="1">
      <alignment horizontal="center" vertical="center" wrapText="1"/>
    </xf>
    <xf numFmtId="177" fontId="5" fillId="3" borderId="4" xfId="2" quotePrefix="1" applyNumberFormat="1" applyFont="1" applyFill="1" applyBorder="1" applyAlignment="1">
      <alignment horizontal="center" vertical="center" wrapText="1"/>
    </xf>
    <xf numFmtId="0" fontId="3" fillId="0" borderId="20" xfId="4" applyFont="1" applyBorder="1" applyAlignment="1">
      <alignment horizontal="center" vertical="center" wrapText="1" readingOrder="1"/>
    </xf>
    <xf numFmtId="0" fontId="18" fillId="0" borderId="21" xfId="4" applyFont="1" applyBorder="1" applyAlignment="1">
      <alignment horizontal="center" vertical="center" wrapText="1" readingOrder="1"/>
    </xf>
    <xf numFmtId="0" fontId="3" fillId="0" borderId="22" xfId="4" applyFont="1" applyBorder="1" applyAlignment="1">
      <alignment horizontal="center" vertical="center" wrapText="1" readingOrder="1"/>
    </xf>
    <xf numFmtId="177" fontId="5" fillId="3" borderId="22" xfId="2" quotePrefix="1" applyNumberFormat="1" applyFont="1" applyFill="1" applyBorder="1" applyAlignment="1">
      <alignment horizontal="center" vertical="center" wrapText="1"/>
    </xf>
    <xf numFmtId="49" fontId="3" fillId="3" borderId="22" xfId="2" applyNumberFormat="1" applyFont="1" applyFill="1" applyBorder="1" applyAlignment="1">
      <alignment vertical="center" wrapText="1"/>
    </xf>
    <xf numFmtId="0" fontId="3" fillId="0" borderId="13" xfId="4" applyFont="1" applyBorder="1" applyAlignment="1">
      <alignment vertical="center" wrapText="1" readingOrder="1"/>
    </xf>
    <xf numFmtId="41" fontId="3" fillId="3" borderId="13" xfId="1" applyFont="1" applyFill="1" applyBorder="1" applyAlignment="1">
      <alignment vertical="center" wrapText="1"/>
    </xf>
    <xf numFmtId="0" fontId="3" fillId="0" borderId="23" xfId="4" applyFont="1" applyBorder="1" applyAlignment="1">
      <alignment horizontal="center" vertical="center" wrapText="1" readingOrder="1"/>
    </xf>
    <xf numFmtId="0" fontId="18" fillId="0" borderId="24" xfId="4" applyFont="1" applyBorder="1" applyAlignment="1">
      <alignment horizontal="center" vertical="center" wrapText="1" readingOrder="1"/>
    </xf>
    <xf numFmtId="0" fontId="3" fillId="0" borderId="25" xfId="4" applyFont="1" applyBorder="1" applyAlignment="1">
      <alignment horizontal="center" vertical="center" wrapText="1" readingOrder="1"/>
    </xf>
    <xf numFmtId="177" fontId="5" fillId="3" borderId="25" xfId="2" quotePrefix="1" applyNumberFormat="1" applyFont="1" applyFill="1" applyBorder="1" applyAlignment="1">
      <alignment horizontal="center" vertical="center" wrapText="1"/>
    </xf>
    <xf numFmtId="49" fontId="3" fillId="3" borderId="25" xfId="2" applyNumberFormat="1" applyFont="1" applyFill="1" applyBorder="1" applyAlignment="1">
      <alignment vertical="center" wrapText="1"/>
    </xf>
    <xf numFmtId="0" fontId="3" fillId="0" borderId="3" xfId="4" applyFont="1" applyBorder="1" applyAlignment="1">
      <alignment vertical="center" wrapText="1" readingOrder="1"/>
    </xf>
    <xf numFmtId="0" fontId="3" fillId="0" borderId="3" xfId="4" applyFont="1" applyBorder="1" applyAlignment="1">
      <alignment horizontal="left" vertical="center" wrapText="1" readingOrder="1"/>
    </xf>
    <xf numFmtId="41" fontId="3" fillId="3" borderId="3" xfId="1" applyFont="1" applyFill="1" applyBorder="1" applyAlignment="1">
      <alignment vertical="center" wrapText="1"/>
    </xf>
    <xf numFmtId="0" fontId="3" fillId="0" borderId="26" xfId="4" applyFont="1" applyBorder="1" applyAlignment="1">
      <alignment horizontal="center" vertical="center" wrapText="1" readingOrder="1"/>
    </xf>
    <xf numFmtId="0" fontId="18" fillId="0" borderId="27" xfId="4" applyFont="1" applyBorder="1" applyAlignment="1">
      <alignment horizontal="center" vertical="center" wrapText="1" readingOrder="1"/>
    </xf>
    <xf numFmtId="177" fontId="5" fillId="3" borderId="3" xfId="2" quotePrefix="1" applyNumberFormat="1" applyFont="1" applyFill="1" applyBorder="1" applyAlignment="1">
      <alignment horizontal="center" vertical="center" wrapText="1"/>
    </xf>
    <xf numFmtId="0" fontId="3" fillId="0" borderId="2" xfId="4" applyFont="1" applyBorder="1" applyAlignment="1">
      <alignment vertical="center" wrapText="1" readingOrder="1"/>
    </xf>
    <xf numFmtId="0" fontId="3" fillId="0" borderId="2" xfId="4" applyFont="1" applyBorder="1" applyAlignment="1">
      <alignment horizontal="left" vertical="center" wrapText="1" readingOrder="1"/>
    </xf>
    <xf numFmtId="41" fontId="3" fillId="3" borderId="2" xfId="1" applyFont="1" applyFill="1" applyBorder="1" applyAlignment="1">
      <alignment vertical="center" wrapText="1"/>
    </xf>
    <xf numFmtId="0" fontId="3" fillId="0" borderId="9" xfId="4" applyFont="1" applyBorder="1" applyAlignment="1">
      <alignment horizontal="center" vertical="center" wrapText="1" readingOrder="1"/>
    </xf>
    <xf numFmtId="0" fontId="18" fillId="0" borderId="15" xfId="4" applyFont="1" applyBorder="1" applyAlignment="1">
      <alignment horizontal="center" vertical="center" wrapText="1" readingOrder="1"/>
    </xf>
    <xf numFmtId="177" fontId="5" fillId="3" borderId="2" xfId="2" quotePrefix="1" applyNumberFormat="1" applyFont="1" applyFill="1" applyBorder="1" applyAlignment="1">
      <alignment horizontal="center" vertical="center" wrapText="1"/>
    </xf>
    <xf numFmtId="0" fontId="3" fillId="0" borderId="22" xfId="4" applyFont="1" applyBorder="1" applyAlignment="1">
      <alignment vertical="center" wrapText="1" readingOrder="1"/>
    </xf>
    <xf numFmtId="0" fontId="3" fillId="0" borderId="22" xfId="4" applyFont="1" applyBorder="1" applyAlignment="1">
      <alignment horizontal="left" vertical="center" wrapText="1" readingOrder="1"/>
    </xf>
    <xf numFmtId="41" fontId="3" fillId="3" borderId="22" xfId="1" applyFont="1" applyFill="1" applyBorder="1" applyAlignment="1">
      <alignment vertical="center" wrapText="1"/>
    </xf>
    <xf numFmtId="0" fontId="3" fillId="0" borderId="14" xfId="4" applyFont="1" applyBorder="1" applyAlignment="1">
      <alignment vertical="center" wrapText="1" readingOrder="1"/>
    </xf>
    <xf numFmtId="0" fontId="3" fillId="0" borderId="14" xfId="4" applyFont="1" applyBorder="1" applyAlignment="1">
      <alignment horizontal="left" vertical="center" wrapText="1" readingOrder="1"/>
    </xf>
    <xf numFmtId="41" fontId="3" fillId="3" borderId="14" xfId="1" applyFont="1" applyFill="1" applyBorder="1" applyAlignment="1">
      <alignment vertical="center" wrapText="1"/>
    </xf>
    <xf numFmtId="0" fontId="3" fillId="0" borderId="25" xfId="4" applyFont="1" applyBorder="1" applyAlignment="1">
      <alignment horizontal="left" vertical="center" wrapText="1" readingOrder="1"/>
    </xf>
    <xf numFmtId="41" fontId="3" fillId="3" borderId="25" xfId="1" applyFont="1" applyFill="1" applyBorder="1" applyAlignment="1">
      <alignment vertical="center" wrapText="1"/>
    </xf>
    <xf numFmtId="0" fontId="3" fillId="0" borderId="4" xfId="4" applyFont="1" applyBorder="1" applyAlignment="1">
      <alignment vertical="center" wrapText="1" readingOrder="1"/>
    </xf>
    <xf numFmtId="0" fontId="19" fillId="0" borderId="0" xfId="2" applyFont="1">
      <alignment vertical="center"/>
    </xf>
    <xf numFmtId="0" fontId="3" fillId="4" borderId="22" xfId="4" applyFont="1" applyFill="1" applyBorder="1" applyAlignment="1">
      <alignment vertical="center" wrapText="1" readingOrder="1"/>
    </xf>
    <xf numFmtId="0" fontId="3" fillId="4" borderId="22" xfId="4" applyFont="1" applyFill="1" applyBorder="1" applyAlignment="1">
      <alignment horizontal="left" vertical="center" wrapText="1" readingOrder="1"/>
    </xf>
    <xf numFmtId="41" fontId="3" fillId="4" borderId="22" xfId="1" applyFont="1" applyFill="1" applyBorder="1" applyAlignment="1">
      <alignment vertical="center" wrapText="1"/>
    </xf>
    <xf numFmtId="0" fontId="3" fillId="4" borderId="20" xfId="4" applyFont="1" applyFill="1" applyBorder="1" applyAlignment="1">
      <alignment horizontal="center" vertical="center" wrapText="1" readingOrder="1"/>
    </xf>
    <xf numFmtId="0" fontId="18" fillId="4" borderId="21" xfId="4" applyFont="1" applyFill="1" applyBorder="1" applyAlignment="1">
      <alignment horizontal="center" vertical="center" wrapText="1" readingOrder="1"/>
    </xf>
    <xf numFmtId="0" fontId="3" fillId="4" borderId="22" xfId="4" applyFont="1" applyFill="1" applyBorder="1" applyAlignment="1">
      <alignment horizontal="center" vertical="center" wrapText="1" readingOrder="1"/>
    </xf>
    <xf numFmtId="177" fontId="5" fillId="4" borderId="22" xfId="2" quotePrefix="1" applyNumberFormat="1" applyFont="1" applyFill="1" applyBorder="1" applyAlignment="1">
      <alignment horizontal="center" vertical="center" wrapText="1"/>
    </xf>
    <xf numFmtId="49" fontId="3" fillId="4" borderId="22" xfId="2" applyNumberFormat="1" applyFont="1" applyFill="1" applyBorder="1" applyAlignment="1">
      <alignment vertical="center" wrapText="1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3" fillId="0" borderId="25" xfId="4" applyFont="1" applyBorder="1" applyAlignment="1">
      <alignment vertical="center" wrapText="1" readingOrder="1"/>
    </xf>
    <xf numFmtId="0" fontId="14" fillId="0" borderId="0" xfId="6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3" fillId="4" borderId="11" xfId="4" applyFont="1" applyFill="1" applyBorder="1" applyAlignment="1">
      <alignment horizontal="left" vertical="center" wrapText="1" readingOrder="1"/>
    </xf>
    <xf numFmtId="0" fontId="4" fillId="0" borderId="0" xfId="2" applyFont="1" applyAlignment="1">
      <alignment horizontal="left" vertical="center"/>
    </xf>
    <xf numFmtId="41" fontId="4" fillId="0" borderId="0" xfId="5" applyFont="1" applyAlignment="1">
      <alignment horizontal="left" vertical="center"/>
    </xf>
    <xf numFmtId="49" fontId="4" fillId="0" borderId="0" xfId="2" applyNumberFormat="1" applyFont="1">
      <alignment vertical="center"/>
    </xf>
    <xf numFmtId="41" fontId="3" fillId="0" borderId="25" xfId="1" applyFont="1" applyFill="1" applyBorder="1" applyAlignment="1">
      <alignment vertical="center" wrapText="1"/>
    </xf>
    <xf numFmtId="177" fontId="5" fillId="0" borderId="25" xfId="2" quotePrefix="1" applyNumberFormat="1" applyFont="1" applyBorder="1" applyAlignment="1">
      <alignment horizontal="center" vertical="center" wrapText="1"/>
    </xf>
    <xf numFmtId="49" fontId="3" fillId="0" borderId="25" xfId="2" applyNumberFormat="1" applyFont="1" applyBorder="1" applyAlignment="1">
      <alignment vertical="center" wrapText="1"/>
    </xf>
    <xf numFmtId="0" fontId="5" fillId="0" borderId="0" xfId="2" applyFont="1">
      <alignment vertical="center"/>
    </xf>
    <xf numFmtId="0" fontId="4" fillId="0" borderId="12" xfId="4" applyFont="1" applyBorder="1" applyAlignment="1">
      <alignment horizontal="left" vertical="center" wrapText="1" readingOrder="1"/>
    </xf>
    <xf numFmtId="41" fontId="3" fillId="0" borderId="3" xfId="1" applyFont="1" applyFill="1" applyBorder="1" applyAlignment="1">
      <alignment vertical="center" wrapText="1"/>
    </xf>
    <xf numFmtId="177" fontId="5" fillId="0" borderId="3" xfId="2" quotePrefix="1" applyNumberFormat="1" applyFont="1" applyBorder="1" applyAlignment="1">
      <alignment horizontal="center" vertical="center" wrapText="1"/>
    </xf>
    <xf numFmtId="49" fontId="3" fillId="0" borderId="3" xfId="2" applyNumberFormat="1" applyFont="1" applyBorder="1" applyAlignment="1">
      <alignment vertical="center" wrapText="1"/>
    </xf>
    <xf numFmtId="41" fontId="3" fillId="4" borderId="11" xfId="1" applyFont="1" applyFill="1" applyBorder="1" applyAlignment="1">
      <alignment vertical="center" wrapText="1"/>
    </xf>
    <xf numFmtId="0" fontId="3" fillId="4" borderId="19" xfId="4" applyFont="1" applyFill="1" applyBorder="1" applyAlignment="1">
      <alignment horizontal="center" vertical="center" wrapText="1" readingOrder="1"/>
    </xf>
    <xf numFmtId="0" fontId="18" fillId="4" borderId="17" xfId="4" applyFont="1" applyFill="1" applyBorder="1" applyAlignment="1">
      <alignment horizontal="center" vertical="center" wrapText="1" readingOrder="1"/>
    </xf>
    <xf numFmtId="0" fontId="3" fillId="4" borderId="4" xfId="4" applyFont="1" applyFill="1" applyBorder="1" applyAlignment="1">
      <alignment horizontal="center" vertical="center" wrapText="1" readingOrder="1"/>
    </xf>
    <xf numFmtId="177" fontId="5" fillId="4" borderId="4" xfId="2" quotePrefix="1" applyNumberFormat="1" applyFont="1" applyFill="1" applyBorder="1" applyAlignment="1">
      <alignment horizontal="center" vertical="center" wrapText="1"/>
    </xf>
    <xf numFmtId="49" fontId="3" fillId="4" borderId="4" xfId="2" applyNumberFormat="1" applyFont="1" applyFill="1" applyBorder="1" applyAlignment="1">
      <alignment vertical="center" wrapText="1"/>
    </xf>
    <xf numFmtId="0" fontId="3" fillId="4" borderId="14" xfId="4" applyFont="1" applyFill="1" applyBorder="1" applyAlignment="1">
      <alignment vertical="center" wrapText="1" readingOrder="1"/>
    </xf>
    <xf numFmtId="0" fontId="3" fillId="4" borderId="14" xfId="4" applyFont="1" applyFill="1" applyBorder="1" applyAlignment="1">
      <alignment horizontal="left" vertical="center" wrapText="1" readingOrder="1"/>
    </xf>
    <xf numFmtId="41" fontId="3" fillId="4" borderId="14" xfId="1" applyFont="1" applyFill="1" applyBorder="1" applyAlignment="1">
      <alignment vertical="center" wrapText="1"/>
    </xf>
    <xf numFmtId="0" fontId="3" fillId="4" borderId="18" xfId="4" applyFont="1" applyFill="1" applyBorder="1" applyAlignment="1">
      <alignment horizontal="center" vertical="center" wrapText="1" readingOrder="1"/>
    </xf>
    <xf numFmtId="0" fontId="18" fillId="4" borderId="16" xfId="4" applyFont="1" applyFill="1" applyBorder="1" applyAlignment="1">
      <alignment horizontal="center" vertical="center" wrapText="1" readingOrder="1"/>
    </xf>
    <xf numFmtId="0" fontId="3" fillId="4" borderId="14" xfId="4" applyFont="1" applyFill="1" applyBorder="1" applyAlignment="1">
      <alignment horizontal="center" vertical="center" wrapText="1" readingOrder="1"/>
    </xf>
    <xf numFmtId="177" fontId="5" fillId="4" borderId="14" xfId="2" quotePrefix="1" applyNumberFormat="1" applyFont="1" applyFill="1" applyBorder="1" applyAlignment="1">
      <alignment horizontal="center" vertical="center" wrapText="1"/>
    </xf>
    <xf numFmtId="49" fontId="3" fillId="4" borderId="14" xfId="2" applyNumberFormat="1" applyFont="1" applyFill="1" applyBorder="1" applyAlignment="1">
      <alignment vertical="center" wrapText="1"/>
    </xf>
    <xf numFmtId="41" fontId="3" fillId="4" borderId="4" xfId="1" applyFont="1" applyFill="1" applyBorder="1" applyAlignment="1">
      <alignment vertical="center" wrapText="1"/>
    </xf>
    <xf numFmtId="177" fontId="5" fillId="0" borderId="4" xfId="2" quotePrefix="1" applyNumberFormat="1" applyFont="1" applyBorder="1" applyAlignment="1">
      <alignment horizontal="center" vertical="center" wrapText="1"/>
    </xf>
    <xf numFmtId="49" fontId="3" fillId="0" borderId="4" xfId="2" applyNumberFormat="1" applyFont="1" applyBorder="1" applyAlignment="1">
      <alignment vertical="center" wrapText="1"/>
    </xf>
    <xf numFmtId="41" fontId="3" fillId="0" borderId="4" xfId="1" applyFont="1" applyFill="1" applyBorder="1" applyAlignment="1">
      <alignment vertical="center" wrapText="1"/>
    </xf>
    <xf numFmtId="0" fontId="24" fillId="0" borderId="0" xfId="2" applyFont="1">
      <alignment vertical="center"/>
    </xf>
    <xf numFmtId="0" fontId="15" fillId="4" borderId="1" xfId="2" applyFont="1" applyFill="1" applyBorder="1" applyAlignment="1">
      <alignment horizontal="center" vertical="center" wrapText="1"/>
    </xf>
    <xf numFmtId="0" fontId="15" fillId="0" borderId="5" xfId="2" quotePrefix="1" applyFont="1" applyBorder="1" applyAlignment="1">
      <alignment horizontal="center" vertical="center" wrapText="1"/>
    </xf>
    <xf numFmtId="0" fontId="25" fillId="2" borderId="1" xfId="2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2" borderId="2" xfId="2" applyFont="1" applyFill="1" applyBorder="1" applyAlignment="1">
      <alignment horizontal="center" vertical="center" wrapText="1"/>
    </xf>
    <xf numFmtId="49" fontId="25" fillId="2" borderId="1" xfId="2" applyNumberFormat="1" applyFont="1" applyFill="1" applyBorder="1" applyAlignment="1">
      <alignment horizontal="center" vertical="center" wrapText="1"/>
    </xf>
    <xf numFmtId="49" fontId="25" fillId="2" borderId="2" xfId="2" applyNumberFormat="1" applyFont="1" applyFill="1" applyBorder="1" applyAlignment="1">
      <alignment horizontal="center" vertical="center" wrapText="1"/>
    </xf>
    <xf numFmtId="0" fontId="14" fillId="0" borderId="0" xfId="6" applyAlignment="1">
      <alignment horizontal="center" vertical="center"/>
    </xf>
    <xf numFmtId="0" fontId="4" fillId="0" borderId="10" xfId="4" applyFont="1" applyBorder="1" applyAlignment="1">
      <alignment horizontal="center" vertical="center" wrapText="1" readingOrder="1"/>
    </xf>
    <xf numFmtId="178" fontId="3" fillId="3" borderId="10" xfId="3" applyNumberFormat="1" applyFont="1" applyFill="1" applyBorder="1" applyAlignment="1">
      <alignment vertical="center" wrapText="1"/>
    </xf>
    <xf numFmtId="177" fontId="3" fillId="3" borderId="2" xfId="2" quotePrefix="1" applyNumberFormat="1" applyFont="1" applyFill="1" applyBorder="1" applyAlignment="1">
      <alignment horizontal="center" vertical="center" wrapText="1"/>
    </xf>
    <xf numFmtId="49" fontId="3" fillId="3" borderId="2" xfId="2" applyNumberFormat="1" applyFont="1" applyFill="1" applyBorder="1" applyAlignment="1">
      <alignment horizontal="center" vertical="center" wrapText="1"/>
    </xf>
    <xf numFmtId="41" fontId="26" fillId="0" borderId="0" xfId="6" applyNumberFormat="1" applyFont="1">
      <alignment vertical="center"/>
    </xf>
    <xf numFmtId="179" fontId="9" fillId="0" borderId="0" xfId="2" quotePrefix="1" applyNumberFormat="1" applyFont="1" applyAlignment="1">
      <alignment horizontal="center" vertical="center"/>
    </xf>
    <xf numFmtId="0" fontId="4" fillId="0" borderId="29" xfId="4" applyFont="1" applyBorder="1" applyAlignment="1">
      <alignment horizontal="center" vertical="center" wrapText="1" readingOrder="1"/>
    </xf>
    <xf numFmtId="0" fontId="3" fillId="0" borderId="29" xfId="4" applyFont="1" applyBorder="1" applyAlignment="1">
      <alignment horizontal="left" vertical="center" wrapText="1" readingOrder="1"/>
    </xf>
    <xf numFmtId="178" fontId="3" fillId="3" borderId="29" xfId="3" applyNumberFormat="1" applyFont="1" applyFill="1" applyBorder="1" applyAlignment="1">
      <alignment vertical="center" wrapText="1"/>
    </xf>
    <xf numFmtId="177" fontId="3" fillId="3" borderId="3" xfId="2" quotePrefix="1" applyNumberFormat="1" applyFont="1" applyFill="1" applyBorder="1" applyAlignment="1">
      <alignment horizontal="center" vertical="center" wrapText="1"/>
    </xf>
    <xf numFmtId="49" fontId="3" fillId="3" borderId="3" xfId="2" applyNumberFormat="1" applyFont="1" applyFill="1" applyBorder="1" applyAlignment="1">
      <alignment horizontal="center" vertical="center" wrapText="1"/>
    </xf>
    <xf numFmtId="0" fontId="9" fillId="0" borderId="0" xfId="2" quotePrefix="1" applyFont="1" applyAlignment="1">
      <alignment horizontal="center" vertical="center"/>
    </xf>
    <xf numFmtId="49" fontId="3" fillId="0" borderId="3" xfId="2" applyNumberFormat="1" applyFont="1" applyBorder="1" applyAlignment="1">
      <alignment horizontal="center" vertical="center" wrapText="1"/>
    </xf>
    <xf numFmtId="0" fontId="4" fillId="0" borderId="11" xfId="4" applyFont="1" applyBorder="1" applyAlignment="1">
      <alignment horizontal="center" vertical="center" wrapText="1" readingOrder="1"/>
    </xf>
    <xf numFmtId="178" fontId="3" fillId="3" borderId="11" xfId="3" applyNumberFormat="1" applyFont="1" applyFill="1" applyBorder="1" applyAlignment="1">
      <alignment vertical="center" wrapText="1"/>
    </xf>
    <xf numFmtId="177" fontId="3" fillId="3" borderId="4" xfId="2" quotePrefix="1" applyNumberFormat="1" applyFont="1" applyFill="1" applyBorder="1" applyAlignment="1">
      <alignment horizontal="center" vertical="center" wrapText="1"/>
    </xf>
    <xf numFmtId="49" fontId="3" fillId="0" borderId="4" xfId="2" applyNumberFormat="1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 readingOrder="1"/>
    </xf>
    <xf numFmtId="176" fontId="3" fillId="3" borderId="10" xfId="3" applyNumberFormat="1" applyFont="1" applyFill="1" applyBorder="1" applyAlignment="1">
      <alignment vertical="center" wrapText="1"/>
    </xf>
    <xf numFmtId="49" fontId="3" fillId="3" borderId="2" xfId="2" quotePrefix="1" applyNumberFormat="1" applyFont="1" applyFill="1" applyBorder="1" applyAlignment="1">
      <alignment vertical="center" wrapText="1"/>
    </xf>
    <xf numFmtId="41" fontId="27" fillId="0" borderId="0" xfId="6" applyNumberFormat="1" applyFont="1">
      <alignment vertical="center"/>
    </xf>
    <xf numFmtId="0" fontId="28" fillId="0" borderId="0" xfId="6" applyFont="1" applyAlignment="1">
      <alignment vertical="center"/>
    </xf>
    <xf numFmtId="0" fontId="4" fillId="0" borderId="3" xfId="4" applyFont="1" applyBorder="1" applyAlignment="1">
      <alignment horizontal="center" vertical="center" wrapText="1" readingOrder="1"/>
    </xf>
    <xf numFmtId="176" fontId="3" fillId="3" borderId="12" xfId="3" applyNumberFormat="1" applyFont="1" applyFill="1" applyBorder="1" applyAlignment="1">
      <alignment vertical="center" wrapText="1"/>
    </xf>
    <xf numFmtId="49" fontId="3" fillId="3" borderId="3" xfId="2" quotePrefix="1" applyNumberFormat="1" applyFont="1" applyFill="1" applyBorder="1" applyAlignment="1">
      <alignment vertical="center" wrapText="1"/>
    </xf>
    <xf numFmtId="176" fontId="3" fillId="3" borderId="29" xfId="3" applyNumberFormat="1" applyFont="1" applyFill="1" applyBorder="1" applyAlignment="1">
      <alignment vertical="center" wrapText="1"/>
    </xf>
    <xf numFmtId="176" fontId="3" fillId="3" borderId="13" xfId="3" applyNumberFormat="1" applyFont="1" applyFill="1" applyBorder="1" applyAlignment="1">
      <alignment vertical="center" wrapText="1"/>
    </xf>
    <xf numFmtId="49" fontId="18" fillId="3" borderId="3" xfId="2" applyNumberFormat="1" applyFont="1" applyFill="1" applyBorder="1" applyAlignment="1">
      <alignment vertical="center" wrapText="1"/>
    </xf>
    <xf numFmtId="176" fontId="3" fillId="3" borderId="11" xfId="3" applyNumberFormat="1" applyFont="1" applyFill="1" applyBorder="1" applyAlignment="1">
      <alignment vertical="center" wrapText="1"/>
    </xf>
    <xf numFmtId="176" fontId="5" fillId="3" borderId="11" xfId="3" applyNumberFormat="1" applyFont="1" applyFill="1" applyBorder="1" applyAlignment="1">
      <alignment vertical="center" wrapText="1"/>
    </xf>
    <xf numFmtId="49" fontId="3" fillId="3" borderId="4" xfId="2" applyNumberFormat="1" applyFont="1" applyFill="1" applyBorder="1" applyAlignment="1">
      <alignment horizontal="center" vertical="center" wrapText="1"/>
    </xf>
    <xf numFmtId="49" fontId="18" fillId="3" borderId="4" xfId="2" applyNumberFormat="1" applyFont="1" applyFill="1" applyBorder="1" applyAlignment="1">
      <alignment vertical="center" wrapText="1"/>
    </xf>
    <xf numFmtId="0" fontId="4" fillId="0" borderId="10" xfId="4" quotePrefix="1" applyFont="1" applyBorder="1" applyAlignment="1">
      <alignment horizontal="center" vertical="center" wrapText="1" readingOrder="1"/>
    </xf>
    <xf numFmtId="0" fontId="5" fillId="0" borderId="2" xfId="4" applyFont="1" applyBorder="1" applyAlignment="1">
      <alignment horizontal="center" vertical="center" wrapText="1" readingOrder="1"/>
    </xf>
    <xf numFmtId="0" fontId="4" fillId="0" borderId="30" xfId="4" quotePrefix="1" applyFont="1" applyBorder="1" applyAlignment="1">
      <alignment horizontal="center" vertical="center" wrapText="1" readingOrder="1"/>
    </xf>
    <xf numFmtId="0" fontId="3" fillId="0" borderId="30" xfId="4" applyFont="1" applyBorder="1" applyAlignment="1">
      <alignment horizontal="left" vertical="center" wrapText="1" readingOrder="1"/>
    </xf>
    <xf numFmtId="176" fontId="3" fillId="3" borderId="30" xfId="3" applyNumberFormat="1" applyFont="1" applyFill="1" applyBorder="1" applyAlignment="1">
      <alignment vertical="center" wrapText="1"/>
    </xf>
    <xf numFmtId="0" fontId="4" fillId="0" borderId="31" xfId="4" quotePrefix="1" applyFont="1" applyBorder="1" applyAlignment="1">
      <alignment horizontal="center" vertical="center" wrapText="1" readingOrder="1"/>
    </xf>
    <xf numFmtId="0" fontId="3" fillId="0" borderId="31" xfId="4" applyFont="1" applyBorder="1" applyAlignment="1">
      <alignment horizontal="left" vertical="center" wrapText="1" readingOrder="1"/>
    </xf>
    <xf numFmtId="176" fontId="3" fillId="3" borderId="31" xfId="3" applyNumberFormat="1" applyFont="1" applyFill="1" applyBorder="1" applyAlignment="1">
      <alignment vertical="center" wrapText="1"/>
    </xf>
    <xf numFmtId="0" fontId="5" fillId="0" borderId="3" xfId="4" applyFont="1" applyBorder="1" applyAlignment="1">
      <alignment horizontal="center" vertical="center" wrapText="1" readingOrder="1"/>
    </xf>
    <xf numFmtId="0" fontId="4" fillId="0" borderId="3" xfId="4" quotePrefix="1" applyFont="1" applyBorder="1" applyAlignment="1">
      <alignment horizontal="center" vertical="center" wrapText="1" readingOrder="1"/>
    </xf>
    <xf numFmtId="176" fontId="3" fillId="3" borderId="3" xfId="3" applyNumberFormat="1" applyFont="1" applyFill="1" applyBorder="1" applyAlignment="1">
      <alignment vertical="center" wrapText="1"/>
    </xf>
    <xf numFmtId="0" fontId="23" fillId="0" borderId="0" xfId="2" applyFont="1">
      <alignment vertical="center"/>
    </xf>
    <xf numFmtId="0" fontId="27" fillId="0" borderId="0" xfId="6" applyFont="1" applyAlignment="1">
      <alignment vertical="center"/>
    </xf>
    <xf numFmtId="0" fontId="30" fillId="0" borderId="0" xfId="2" applyFont="1" applyAlignment="1">
      <alignment horizontal="left" vertical="center"/>
    </xf>
    <xf numFmtId="176" fontId="9" fillId="0" borderId="0" xfId="5" applyNumberFormat="1" applyFont="1" applyAlignment="1">
      <alignment horizontal="left" vertical="center"/>
    </xf>
    <xf numFmtId="0" fontId="31" fillId="0" borderId="0" xfId="6" applyFont="1" applyAlignment="1">
      <alignment vertical="center"/>
    </xf>
    <xf numFmtId="41" fontId="3" fillId="0" borderId="2" xfId="1" applyFont="1" applyBorder="1" applyAlignment="1">
      <alignment vertical="center" wrapText="1" readingOrder="1"/>
    </xf>
    <xf numFmtId="41" fontId="3" fillId="0" borderId="22" xfId="1" applyFont="1" applyBorder="1" applyAlignment="1">
      <alignment vertical="center" wrapText="1" readingOrder="1"/>
    </xf>
    <xf numFmtId="41" fontId="3" fillId="0" borderId="3" xfId="1" applyFont="1" applyBorder="1" applyAlignment="1">
      <alignment vertical="center" wrapText="1" readingOrder="1"/>
    </xf>
    <xf numFmtId="41" fontId="3" fillId="0" borderId="14" xfId="1" applyFont="1" applyBorder="1" applyAlignment="1">
      <alignment vertical="center" wrapText="1" readingOrder="1"/>
    </xf>
    <xf numFmtId="41" fontId="3" fillId="0" borderId="4" xfId="1" applyFont="1" applyBorder="1" applyAlignment="1">
      <alignment vertical="center" wrapText="1" readingOrder="1"/>
    </xf>
    <xf numFmtId="41" fontId="3" fillId="0" borderId="2" xfId="1" applyFont="1" applyBorder="1" applyAlignment="1">
      <alignment horizontal="left" vertical="center" wrapText="1" readingOrder="1"/>
    </xf>
    <xf numFmtId="41" fontId="3" fillId="0" borderId="22" xfId="1" applyFont="1" applyBorder="1" applyAlignment="1">
      <alignment horizontal="left" vertical="center" wrapText="1" readingOrder="1"/>
    </xf>
    <xf numFmtId="41" fontId="3" fillId="0" borderId="3" xfId="1" applyFont="1" applyBorder="1" applyAlignment="1">
      <alignment horizontal="left" vertical="center" wrapText="1" readingOrder="1"/>
    </xf>
    <xf numFmtId="41" fontId="3" fillId="0" borderId="14" xfId="1" applyFont="1" applyBorder="1" applyAlignment="1">
      <alignment horizontal="left" vertical="center" wrapText="1" readingOrder="1"/>
    </xf>
    <xf numFmtId="41" fontId="4" fillId="0" borderId="22" xfId="1" applyFont="1" applyBorder="1" applyAlignment="1">
      <alignment vertical="center" wrapText="1" readingOrder="1"/>
    </xf>
    <xf numFmtId="41" fontId="3" fillId="0" borderId="4" xfId="1" applyFont="1" applyBorder="1" applyAlignment="1">
      <alignment horizontal="left" vertical="center" wrapText="1" readingOrder="1"/>
    </xf>
    <xf numFmtId="0" fontId="32" fillId="0" borderId="0" xfId="9">
      <alignment vertical="center"/>
    </xf>
    <xf numFmtId="0" fontId="33" fillId="0" borderId="0" xfId="9" applyFont="1">
      <alignment vertical="center"/>
    </xf>
    <xf numFmtId="0" fontId="4" fillId="0" borderId="0" xfId="9" applyFont="1">
      <alignment vertical="center"/>
    </xf>
    <xf numFmtId="49" fontId="3" fillId="0" borderId="0" xfId="10" applyNumberFormat="1" applyFont="1" applyAlignment="1">
      <alignment horizontal="center" vertical="center"/>
    </xf>
    <xf numFmtId="49" fontId="3" fillId="0" borderId="32" xfId="10" applyNumberFormat="1" applyFont="1" applyBorder="1" applyAlignment="1">
      <alignment horizontal="center" vertical="center"/>
    </xf>
    <xf numFmtId="49" fontId="35" fillId="0" borderId="33" xfId="10" applyNumberFormat="1" applyFont="1" applyBorder="1" applyAlignment="1">
      <alignment horizontal="center" vertical="center"/>
    </xf>
    <xf numFmtId="49" fontId="36" fillId="0" borderId="33" xfId="10" applyNumberFormat="1" applyFont="1" applyBorder="1" applyAlignment="1">
      <alignment horizontal="center" vertical="center"/>
    </xf>
    <xf numFmtId="49" fontId="37" fillId="0" borderId="33" xfId="10" applyNumberFormat="1" applyFont="1" applyBorder="1" applyAlignment="1">
      <alignment horizontal="center" vertical="center"/>
    </xf>
    <xf numFmtId="180" fontId="3" fillId="0" borderId="32" xfId="11" applyFont="1" applyFill="1" applyBorder="1" applyAlignment="1">
      <alignment vertical="center"/>
    </xf>
    <xf numFmtId="180" fontId="3" fillId="0" borderId="32" xfId="11" applyFont="1" applyBorder="1">
      <alignment vertical="center"/>
    </xf>
    <xf numFmtId="0" fontId="3" fillId="0" borderId="32" xfId="10" applyFont="1" applyBorder="1" applyAlignment="1">
      <alignment horizontal="center" vertical="center" wrapText="1"/>
    </xf>
    <xf numFmtId="180" fontId="35" fillId="0" borderId="32" xfId="11" applyFont="1" applyFill="1" applyBorder="1" applyAlignment="1">
      <alignment vertical="center" wrapText="1"/>
    </xf>
    <xf numFmtId="49" fontId="3" fillId="0" borderId="35" xfId="10" applyNumberFormat="1" applyFont="1" applyBorder="1" applyAlignment="1">
      <alignment horizontal="center" vertical="center" wrapText="1"/>
    </xf>
    <xf numFmtId="49" fontId="3" fillId="0" borderId="36" xfId="10" applyNumberFormat="1" applyFont="1" applyBorder="1" applyAlignment="1">
      <alignment horizontal="center" vertical="center"/>
    </xf>
    <xf numFmtId="49" fontId="35" fillId="0" borderId="37" xfId="10" applyNumberFormat="1" applyFont="1" applyBorder="1" applyAlignment="1">
      <alignment horizontal="center" vertical="center"/>
    </xf>
    <xf numFmtId="49" fontId="36" fillId="6" borderId="37" xfId="10" applyNumberFormat="1" applyFont="1" applyFill="1" applyBorder="1" applyAlignment="1">
      <alignment horizontal="center" vertical="center"/>
    </xf>
    <xf numFmtId="49" fontId="37" fillId="0" borderId="37" xfId="10" applyNumberFormat="1" applyFont="1" applyBorder="1" applyAlignment="1">
      <alignment horizontal="center" vertical="center"/>
    </xf>
    <xf numFmtId="180" fontId="38" fillId="0" borderId="38" xfId="11" applyFont="1" applyBorder="1" applyAlignment="1">
      <alignment horizontal="center" vertical="center"/>
    </xf>
    <xf numFmtId="180" fontId="3" fillId="0" borderId="36" xfId="11" applyFont="1" applyFill="1" applyBorder="1" applyAlignment="1">
      <alignment vertical="center"/>
    </xf>
    <xf numFmtId="180" fontId="3" fillId="0" borderId="35" xfId="11" applyFont="1" applyBorder="1">
      <alignment vertical="center"/>
    </xf>
    <xf numFmtId="0" fontId="3" fillId="0" borderId="35" xfId="10" applyFont="1" applyBorder="1" applyAlignment="1">
      <alignment horizontal="center" vertical="center" wrapText="1"/>
    </xf>
    <xf numFmtId="180" fontId="35" fillId="0" borderId="35" xfId="11" applyFont="1" applyFill="1" applyBorder="1" applyAlignment="1">
      <alignment vertical="center" wrapText="1"/>
    </xf>
    <xf numFmtId="49" fontId="3" fillId="0" borderId="39" xfId="10" applyNumberFormat="1" applyFont="1" applyBorder="1" applyAlignment="1">
      <alignment horizontal="center" vertical="center"/>
    </xf>
    <xf numFmtId="49" fontId="35" fillId="0" borderId="40" xfId="10" applyNumberFormat="1" applyFont="1" applyBorder="1" applyAlignment="1">
      <alignment horizontal="center" vertical="center"/>
    </xf>
    <xf numFmtId="49" fontId="39" fillId="0" borderId="40" xfId="10" applyNumberFormat="1" applyFont="1" applyBorder="1" applyAlignment="1">
      <alignment horizontal="center" vertical="center"/>
    </xf>
    <xf numFmtId="49" fontId="37" fillId="0" borderId="40" xfId="10" applyNumberFormat="1" applyFont="1" applyBorder="1" applyAlignment="1">
      <alignment horizontal="center" vertical="center"/>
    </xf>
    <xf numFmtId="180" fontId="38" fillId="0" borderId="41" xfId="11" applyFont="1" applyBorder="1" applyAlignment="1">
      <alignment horizontal="center" vertical="center"/>
    </xf>
    <xf numFmtId="180" fontId="3" fillId="0" borderId="39" xfId="11" applyFont="1" applyFill="1" applyBorder="1" applyAlignment="1">
      <alignment vertical="center"/>
    </xf>
    <xf numFmtId="49" fontId="3" fillId="0" borderId="42" xfId="10" applyNumberFormat="1" applyFont="1" applyBorder="1" applyAlignment="1">
      <alignment horizontal="center" vertical="center"/>
    </xf>
    <xf numFmtId="49" fontId="40" fillId="0" borderId="40" xfId="10" applyNumberFormat="1" applyFont="1" applyBorder="1" applyAlignment="1">
      <alignment horizontal="center" vertical="center"/>
    </xf>
    <xf numFmtId="180" fontId="38" fillId="0" borderId="43" xfId="11" applyFont="1" applyBorder="1" applyAlignment="1">
      <alignment horizontal="center" vertical="center"/>
    </xf>
    <xf numFmtId="180" fontId="3" fillId="0" borderId="42" xfId="11" applyFont="1" applyFill="1" applyBorder="1" applyAlignment="1">
      <alignment vertical="center"/>
    </xf>
    <xf numFmtId="180" fontId="3" fillId="0" borderId="44" xfId="11" applyFont="1" applyBorder="1">
      <alignment vertical="center"/>
    </xf>
    <xf numFmtId="0" fontId="3" fillId="0" borderId="44" xfId="10" applyFont="1" applyBorder="1" applyAlignment="1">
      <alignment horizontal="center" vertical="center" wrapText="1"/>
    </xf>
    <xf numFmtId="180" fontId="35" fillId="0" borderId="44" xfId="11" applyFont="1" applyFill="1" applyBorder="1" applyAlignment="1">
      <alignment vertical="center" wrapText="1"/>
    </xf>
    <xf numFmtId="49" fontId="3" fillId="0" borderId="45" xfId="10" applyNumberFormat="1" applyFont="1" applyBorder="1" applyAlignment="1">
      <alignment horizontal="center" vertical="center"/>
    </xf>
    <xf numFmtId="49" fontId="40" fillId="0" borderId="33" xfId="10" applyNumberFormat="1" applyFont="1" applyBorder="1" applyAlignment="1">
      <alignment horizontal="center" vertical="center"/>
    </xf>
    <xf numFmtId="49" fontId="41" fillId="6" borderId="33" xfId="10" applyNumberFormat="1" applyFont="1" applyFill="1" applyBorder="1" applyAlignment="1">
      <alignment horizontal="center" vertical="center"/>
    </xf>
    <xf numFmtId="180" fontId="35" fillId="0" borderId="46" xfId="11" applyFont="1" applyBorder="1" applyAlignment="1">
      <alignment horizontal="center" vertical="center"/>
    </xf>
    <xf numFmtId="180" fontId="3" fillId="0" borderId="45" xfId="11" applyFont="1" applyFill="1" applyBorder="1" applyAlignment="1">
      <alignment vertical="center"/>
    </xf>
    <xf numFmtId="49" fontId="42" fillId="6" borderId="40" xfId="10" applyNumberFormat="1" applyFont="1" applyFill="1" applyBorder="1" applyAlignment="1">
      <alignment horizontal="center" vertical="center"/>
    </xf>
    <xf numFmtId="180" fontId="35" fillId="0" borderId="41" xfId="11" applyFont="1" applyBorder="1" applyAlignment="1">
      <alignment horizontal="center" vertical="center"/>
    </xf>
    <xf numFmtId="49" fontId="43" fillId="0" borderId="40" xfId="10" applyNumberFormat="1" applyFont="1" applyBorder="1" applyAlignment="1">
      <alignment horizontal="center" vertical="center"/>
    </xf>
    <xf numFmtId="180" fontId="35" fillId="0" borderId="43" xfId="11" applyFont="1" applyBorder="1" applyAlignment="1">
      <alignment horizontal="center" vertical="center"/>
    </xf>
    <xf numFmtId="49" fontId="35" fillId="0" borderId="37" xfId="10" quotePrefix="1" applyNumberFormat="1" applyFont="1" applyBorder="1" applyAlignment="1">
      <alignment horizontal="center" vertical="center"/>
    </xf>
    <xf numFmtId="49" fontId="39" fillId="0" borderId="37" xfId="10" applyNumberFormat="1" applyFont="1" applyBorder="1" applyAlignment="1">
      <alignment horizontal="center" vertical="center"/>
    </xf>
    <xf numFmtId="180" fontId="3" fillId="0" borderId="47" xfId="11" applyFont="1" applyBorder="1">
      <alignment vertical="center"/>
    </xf>
    <xf numFmtId="49" fontId="35" fillId="0" borderId="48" xfId="10" applyNumberFormat="1" applyFont="1" applyBorder="1" applyAlignment="1">
      <alignment horizontal="center" vertical="center"/>
    </xf>
    <xf numFmtId="49" fontId="40" fillId="6" borderId="40" xfId="10" applyNumberFormat="1" applyFont="1" applyFill="1" applyBorder="1" applyAlignment="1">
      <alignment horizontal="center" vertical="center"/>
    </xf>
    <xf numFmtId="49" fontId="35" fillId="0" borderId="48" xfId="10" quotePrefix="1" applyNumberFormat="1" applyFont="1" applyBorder="1" applyAlignment="1">
      <alignment horizontal="center" vertical="center"/>
    </xf>
    <xf numFmtId="49" fontId="39" fillId="0" borderId="48" xfId="10" applyNumberFormat="1" applyFont="1" applyBorder="1" applyAlignment="1">
      <alignment horizontal="center" vertical="center"/>
    </xf>
    <xf numFmtId="49" fontId="3" fillId="0" borderId="32" xfId="12" applyNumberFormat="1" applyFont="1" applyBorder="1" applyAlignment="1">
      <alignment horizontal="center" vertical="center"/>
    </xf>
    <xf numFmtId="49" fontId="39" fillId="0" borderId="33" xfId="10" quotePrefix="1" applyNumberFormat="1" applyFont="1" applyBorder="1" applyAlignment="1">
      <alignment horizontal="center" vertical="center"/>
    </xf>
    <xf numFmtId="49" fontId="40" fillId="6" borderId="33" xfId="10" applyNumberFormat="1" applyFont="1" applyFill="1" applyBorder="1" applyAlignment="1">
      <alignment horizontal="center" vertical="center"/>
    </xf>
    <xf numFmtId="49" fontId="39" fillId="0" borderId="33" xfId="10" applyNumberFormat="1" applyFont="1" applyBorder="1" applyAlignment="1">
      <alignment horizontal="center" vertical="center"/>
    </xf>
    <xf numFmtId="180" fontId="38" fillId="0" borderId="34" xfId="11" applyFont="1" applyBorder="1" applyAlignment="1">
      <alignment horizontal="center" vertical="center"/>
    </xf>
    <xf numFmtId="49" fontId="3" fillId="0" borderId="49" xfId="12" applyNumberFormat="1" applyFont="1" applyBorder="1" applyAlignment="1">
      <alignment horizontal="center" vertical="center"/>
    </xf>
    <xf numFmtId="49" fontId="39" fillId="0" borderId="40" xfId="10" quotePrefix="1" applyNumberFormat="1" applyFont="1" applyBorder="1" applyAlignment="1">
      <alignment horizontal="center" vertical="center"/>
    </xf>
    <xf numFmtId="49" fontId="43" fillId="0" borderId="40" xfId="10" quotePrefix="1" applyNumberFormat="1" applyFont="1" applyBorder="1" applyAlignment="1">
      <alignment horizontal="center" vertical="center"/>
    </xf>
    <xf numFmtId="180" fontId="38" fillId="0" borderId="50" xfId="11" applyFont="1" applyBorder="1" applyAlignment="1">
      <alignment horizontal="center" vertical="center"/>
    </xf>
    <xf numFmtId="180" fontId="3" fillId="0" borderId="51" xfId="11" applyFont="1" applyFill="1" applyBorder="1" applyAlignment="1">
      <alignment vertical="center"/>
    </xf>
    <xf numFmtId="180" fontId="3" fillId="0" borderId="51" xfId="11" applyFont="1" applyBorder="1">
      <alignment vertical="center"/>
    </xf>
    <xf numFmtId="49" fontId="46" fillId="2" borderId="1" xfId="13" quotePrefix="1" applyNumberFormat="1" applyFont="1" applyFill="1" applyBorder="1" applyAlignment="1">
      <alignment horizontal="center" vertical="center" wrapText="1"/>
    </xf>
    <xf numFmtId="49" fontId="3" fillId="2" borderId="34" xfId="10" applyNumberFormat="1" applyFont="1" applyFill="1" applyBorder="1" applyAlignment="1">
      <alignment horizontal="center" vertical="center"/>
    </xf>
    <xf numFmtId="49" fontId="47" fillId="2" borderId="32" xfId="10" applyNumberFormat="1" applyFont="1" applyFill="1" applyBorder="1" applyAlignment="1">
      <alignment horizontal="center" vertical="center"/>
    </xf>
    <xf numFmtId="49" fontId="3" fillId="2" borderId="53" xfId="10" applyNumberFormat="1" applyFont="1" applyFill="1" applyBorder="1" applyAlignment="1">
      <alignment horizontal="center" vertical="center"/>
    </xf>
    <xf numFmtId="49" fontId="3" fillId="2" borderId="54" xfId="10" applyNumberFormat="1" applyFont="1" applyFill="1" applyBorder="1" applyAlignment="1">
      <alignment horizontal="center" vertical="center"/>
    </xf>
    <xf numFmtId="0" fontId="3" fillId="0" borderId="0" xfId="10" applyFont="1" applyAlignment="1">
      <alignment horizontal="center" vertical="center"/>
    </xf>
    <xf numFmtId="0" fontId="46" fillId="0" borderId="1" xfId="13" applyFont="1" applyBorder="1" applyAlignment="1">
      <alignment horizontal="center" vertical="center" wrapText="1"/>
    </xf>
    <xf numFmtId="0" fontId="46" fillId="2" borderId="1" xfId="13" applyFont="1" applyFill="1" applyBorder="1" applyAlignment="1">
      <alignment horizontal="center" vertical="center" wrapText="1"/>
    </xf>
    <xf numFmtId="0" fontId="48" fillId="0" borderId="0" xfId="10" applyFont="1" applyAlignment="1">
      <alignment horizontal="center" vertical="center"/>
    </xf>
    <xf numFmtId="0" fontId="50" fillId="0" borderId="0" xfId="9" applyFont="1">
      <alignment vertical="center"/>
    </xf>
    <xf numFmtId="180" fontId="35" fillId="0" borderId="38" xfId="11" applyFont="1" applyBorder="1" applyAlignment="1">
      <alignment horizontal="center" vertical="center"/>
    </xf>
    <xf numFmtId="0" fontId="51" fillId="0" borderId="0" xfId="9" applyFont="1">
      <alignment vertical="center"/>
    </xf>
    <xf numFmtId="0" fontId="37" fillId="0" borderId="40" xfId="10" applyFont="1" applyBorder="1" applyAlignment="1">
      <alignment horizontal="center" vertical="center"/>
    </xf>
    <xf numFmtId="0" fontId="14" fillId="0" borderId="0" xfId="6" applyAlignment="1">
      <alignment vertical="center"/>
    </xf>
    <xf numFmtId="41" fontId="17" fillId="0" borderId="3" xfId="1" applyFont="1" applyBorder="1" applyAlignment="1">
      <alignment vertical="center" wrapText="1" readingOrder="1"/>
    </xf>
    <xf numFmtId="41" fontId="4" fillId="0" borderId="3" xfId="1" applyFont="1" applyBorder="1" applyAlignment="1">
      <alignment horizontal="left" vertical="center" wrapText="1" readingOrder="1"/>
    </xf>
    <xf numFmtId="41" fontId="52" fillId="0" borderId="22" xfId="1" applyFont="1" applyBorder="1" applyAlignment="1">
      <alignment horizontal="left" vertical="center" wrapText="1" readingOrder="1"/>
    </xf>
    <xf numFmtId="41" fontId="52" fillId="0" borderId="22" xfId="1" applyFont="1" applyBorder="1" applyAlignment="1">
      <alignment vertical="center" wrapText="1" readingOrder="1"/>
    </xf>
    <xf numFmtId="41" fontId="17" fillId="0" borderId="22" xfId="1" applyFont="1" applyBorder="1" applyAlignment="1">
      <alignment vertical="center" wrapText="1" readingOrder="1"/>
    </xf>
    <xf numFmtId="41" fontId="3" fillId="0" borderId="25" xfId="1" applyFont="1" applyBorder="1" applyAlignment="1">
      <alignment vertical="center" wrapText="1" readingOrder="1"/>
    </xf>
    <xf numFmtId="41" fontId="3" fillId="0" borderId="25" xfId="1" applyFont="1" applyBorder="1" applyAlignment="1">
      <alignment horizontal="left" vertical="center" wrapText="1" readingOrder="1"/>
    </xf>
    <xf numFmtId="0" fontId="18" fillId="0" borderId="62" xfId="4" applyFont="1" applyBorder="1" applyAlignment="1">
      <alignment horizontal="center" vertical="center" wrapText="1" readingOrder="1"/>
    </xf>
    <xf numFmtId="0" fontId="3" fillId="0" borderId="31" xfId="4" applyFont="1" applyBorder="1" applyAlignment="1">
      <alignment horizontal="center" vertical="center" wrapText="1" readingOrder="1"/>
    </xf>
    <xf numFmtId="177" fontId="5" fillId="3" borderId="31" xfId="2" quotePrefix="1" applyNumberFormat="1" applyFont="1" applyFill="1" applyBorder="1" applyAlignment="1">
      <alignment horizontal="center" vertical="center" wrapText="1"/>
    </xf>
    <xf numFmtId="49" fontId="3" fillId="3" borderId="31" xfId="2" applyNumberFormat="1" applyFont="1" applyFill="1" applyBorder="1" applyAlignment="1">
      <alignment vertical="center" wrapText="1"/>
    </xf>
    <xf numFmtId="41" fontId="18" fillId="0" borderId="31" xfId="1" applyFont="1" applyBorder="1" applyAlignment="1">
      <alignment vertical="center" wrapText="1" readingOrder="1"/>
    </xf>
    <xf numFmtId="41" fontId="18" fillId="0" borderId="31" xfId="1" applyFont="1" applyBorder="1" applyAlignment="1">
      <alignment horizontal="left" vertical="center" wrapText="1" readingOrder="1"/>
    </xf>
    <xf numFmtId="41" fontId="18" fillId="3" borderId="31" xfId="1" applyFont="1" applyFill="1" applyBorder="1" applyAlignment="1">
      <alignment vertical="center" wrapText="1"/>
    </xf>
    <xf numFmtId="0" fontId="18" fillId="0" borderId="61" xfId="4" applyFont="1" applyBorder="1" applyAlignment="1">
      <alignment horizontal="center" vertical="center" wrapText="1" readingOrder="1"/>
    </xf>
    <xf numFmtId="0" fontId="0" fillId="7" borderId="0" xfId="0" applyFill="1">
      <alignment vertical="center"/>
    </xf>
    <xf numFmtId="0" fontId="14" fillId="7" borderId="0" xfId="6" applyFill="1">
      <alignment vertical="center"/>
    </xf>
    <xf numFmtId="0" fontId="0" fillId="2" borderId="0" xfId="0" applyFill="1">
      <alignment vertical="center"/>
    </xf>
    <xf numFmtId="0" fontId="14" fillId="2" borderId="0" xfId="6" applyFill="1">
      <alignment vertical="center"/>
    </xf>
    <xf numFmtId="0" fontId="45" fillId="2" borderId="58" xfId="13" applyFont="1" applyFill="1" applyBorder="1" applyAlignment="1">
      <alignment horizontal="center" vertical="center" wrapText="1"/>
    </xf>
    <xf numFmtId="0" fontId="49" fillId="2" borderId="58" xfId="13" applyFont="1" applyFill="1" applyBorder="1" applyAlignment="1">
      <alignment horizontal="center" vertical="center" wrapText="1"/>
    </xf>
    <xf numFmtId="0" fontId="45" fillId="0" borderId="58" xfId="13" applyFont="1" applyBorder="1" applyAlignment="1">
      <alignment horizontal="center" vertical="center" wrapText="1"/>
    </xf>
    <xf numFmtId="0" fontId="49" fillId="0" borderId="58" xfId="13" applyFont="1" applyBorder="1" applyAlignment="1">
      <alignment horizontal="center" vertical="center" wrapText="1"/>
    </xf>
    <xf numFmtId="0" fontId="45" fillId="2" borderId="57" xfId="13" applyFont="1" applyFill="1" applyBorder="1" applyAlignment="1">
      <alignment horizontal="center" vertical="center" wrapText="1"/>
    </xf>
    <xf numFmtId="0" fontId="45" fillId="2" borderId="52" xfId="13" quotePrefix="1" applyFont="1" applyFill="1" applyBorder="1" applyAlignment="1">
      <alignment horizontal="center" vertical="center" wrapText="1"/>
    </xf>
    <xf numFmtId="0" fontId="3" fillId="2" borderId="60" xfId="10" applyFont="1" applyFill="1" applyBorder="1" applyAlignment="1">
      <alignment horizontal="center" vertical="center"/>
    </xf>
    <xf numFmtId="0" fontId="3" fillId="2" borderId="59" xfId="10" applyFont="1" applyFill="1" applyBorder="1" applyAlignment="1">
      <alignment horizontal="center" vertical="center"/>
    </xf>
    <xf numFmtId="0" fontId="3" fillId="2" borderId="56" xfId="10" applyFont="1" applyFill="1" applyBorder="1" applyAlignment="1">
      <alignment horizontal="center" vertical="center"/>
    </xf>
    <xf numFmtId="0" fontId="3" fillId="2" borderId="55" xfId="10" applyFont="1" applyFill="1" applyBorder="1" applyAlignment="1">
      <alignment horizontal="center" vertical="center"/>
    </xf>
    <xf numFmtId="0" fontId="47" fillId="2" borderId="44" xfId="10" applyFont="1" applyFill="1" applyBorder="1" applyAlignment="1">
      <alignment horizontal="center" vertical="center"/>
    </xf>
    <xf numFmtId="0" fontId="35" fillId="2" borderId="35" xfId="10" applyFont="1" applyFill="1" applyBorder="1" applyAlignment="1">
      <alignment horizontal="center" vertical="center"/>
    </xf>
    <xf numFmtId="0" fontId="35" fillId="2" borderId="32" xfId="10" applyFont="1" applyFill="1" applyBorder="1" applyAlignment="1">
      <alignment horizontal="center" vertical="center"/>
    </xf>
    <xf numFmtId="41" fontId="4" fillId="3" borderId="2" xfId="3" applyFont="1" applyFill="1" applyBorder="1" applyAlignment="1">
      <alignment horizontal="center" vertical="center" wrapText="1"/>
    </xf>
    <xf numFmtId="41" fontId="4" fillId="3" borderId="3" xfId="3" applyFont="1" applyFill="1" applyBorder="1" applyAlignment="1">
      <alignment horizontal="center" vertical="center" wrapText="1"/>
    </xf>
    <xf numFmtId="41" fontId="4" fillId="3" borderId="4" xfId="3" applyFont="1" applyFill="1" applyBorder="1" applyAlignment="1">
      <alignment horizontal="center" vertical="center" wrapText="1"/>
    </xf>
    <xf numFmtId="0" fontId="16" fillId="0" borderId="5" xfId="2" quotePrefix="1" applyFont="1" applyBorder="1" applyAlignment="1">
      <alignment horizontal="center" vertical="center" wrapText="1"/>
    </xf>
    <xf numFmtId="0" fontId="16" fillId="0" borderId="8" xfId="2" quotePrefix="1" applyFont="1" applyBorder="1" applyAlignment="1">
      <alignment horizontal="center" vertical="center" wrapText="1"/>
    </xf>
    <xf numFmtId="0" fontId="16" fillId="0" borderId="28" xfId="2" quotePrefix="1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8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49" fontId="15" fillId="2" borderId="5" xfId="2" applyNumberFormat="1" applyFont="1" applyFill="1" applyBorder="1" applyAlignment="1">
      <alignment horizontal="center" vertical="center" wrapText="1"/>
    </xf>
    <xf numFmtId="49" fontId="15" fillId="2" borderId="6" xfId="2" applyNumberFormat="1" applyFont="1" applyFill="1" applyBorder="1" applyAlignment="1">
      <alignment horizontal="center" vertical="center" wrapText="1"/>
    </xf>
    <xf numFmtId="0" fontId="16" fillId="0" borderId="8" xfId="2" applyFont="1" applyBorder="1" applyAlignment="1">
      <alignment horizontal="center" vertical="center" wrapText="1"/>
    </xf>
    <xf numFmtId="0" fontId="16" fillId="0" borderId="6" xfId="2" applyFont="1" applyBorder="1" applyAlignment="1">
      <alignment horizontal="center" vertical="center" wrapText="1"/>
    </xf>
    <xf numFmtId="41" fontId="4" fillId="3" borderId="2" xfId="3" quotePrefix="1" applyFont="1" applyFill="1" applyBorder="1" applyAlignment="1">
      <alignment horizontal="center" vertical="center" wrapText="1"/>
    </xf>
    <xf numFmtId="41" fontId="4" fillId="3" borderId="3" xfId="3" quotePrefix="1" applyFont="1" applyFill="1" applyBorder="1" applyAlignment="1">
      <alignment horizontal="center" vertical="center" wrapText="1"/>
    </xf>
    <xf numFmtId="0" fontId="16" fillId="0" borderId="6" xfId="2" quotePrefix="1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 readingOrder="1"/>
    </xf>
    <xf numFmtId="0" fontId="4" fillId="0" borderId="3" xfId="4" applyFont="1" applyBorder="1" applyAlignment="1">
      <alignment horizontal="center" vertical="center" wrapText="1" readingOrder="1"/>
    </xf>
    <xf numFmtId="0" fontId="4" fillId="0" borderId="12" xfId="4" applyFont="1" applyBorder="1" applyAlignment="1">
      <alignment horizontal="center" vertical="center" wrapText="1" readingOrder="1"/>
    </xf>
    <xf numFmtId="0" fontId="4" fillId="0" borderId="13" xfId="4" applyFont="1" applyBorder="1" applyAlignment="1">
      <alignment horizontal="center" vertical="center" wrapText="1" readingOrder="1"/>
    </xf>
    <xf numFmtId="0" fontId="4" fillId="0" borderId="4" xfId="4" applyFont="1" applyBorder="1" applyAlignment="1">
      <alignment horizontal="center" vertical="center" wrapText="1" readingOrder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</cellXfs>
  <cellStyles count="14">
    <cellStyle name="백분율 2" xfId="7" xr:uid="{4BDF7F8F-F14F-414B-A364-B28B2208B996}"/>
    <cellStyle name="쉼표 [0]" xfId="1" builtinId="6"/>
    <cellStyle name="쉼표 [0] 2" xfId="3" xr:uid="{5922DB6F-F165-4D86-9591-9E2C373693C7}"/>
    <cellStyle name="쉼표 [0] 2 2" xfId="5" xr:uid="{DD54D0AA-BA1E-4BF1-8CCF-F0A4D6065480}"/>
    <cellStyle name="쉼표 [0] 2 3" xfId="11" xr:uid="{B8B4981F-4A45-485F-9D66-0C2789143771}"/>
    <cellStyle name="표준" xfId="0" builtinId="0"/>
    <cellStyle name="표준 2" xfId="2" xr:uid="{97884009-124D-402F-B39F-AB26CDEA10B6}"/>
    <cellStyle name="표준 2 2" xfId="10" xr:uid="{9D1819F5-82CF-4043-9AA4-64E9FB17809E}"/>
    <cellStyle name="표준 3" xfId="4" xr:uid="{18E69B6E-D034-40CA-899A-2E70E0C25FB1}"/>
    <cellStyle name="표준 30 2" xfId="12" xr:uid="{E943A1BC-F054-427C-8577-D8FC07722FAD}"/>
    <cellStyle name="표준 4" xfId="8" xr:uid="{A8E3C898-2BE2-44AA-8D32-4E192134AA42}"/>
    <cellStyle name="표준 5" xfId="9" xr:uid="{BE7F3CC1-3CA2-4AB1-842D-7D633751BF96}"/>
    <cellStyle name="표준_★09년 과정운영계획_기술교육_1111111" xfId="13" xr:uid="{ECC983DC-7A15-4A6E-B4CD-30E1B95225B8}"/>
    <cellStyle name="하이퍼링크" xfId="6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1090501</xdr:colOff>
      <xdr:row>28</xdr:row>
      <xdr:rowOff>45780</xdr:rowOff>
    </xdr:from>
    <xdr:to>
      <xdr:col>11</xdr:col>
      <xdr:colOff>333375</xdr:colOff>
      <xdr:row>32</xdr:row>
      <xdr:rowOff>144722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89A105B9-04F2-1ECF-74E4-C7716E0A0A69}"/>
            </a:ext>
          </a:extLst>
        </xdr:cNvPr>
        <xdr:cNvSpPr/>
      </xdr:nvSpPr>
      <xdr:spPr>
        <a:xfrm rot="20191594">
          <a:off x="5110051" y="6084630"/>
          <a:ext cx="8053499" cy="937142"/>
        </a:xfrm>
        <a:prstGeom prst="roundRect">
          <a:avLst/>
        </a:prstGeom>
        <a:solidFill>
          <a:srgbClr val="FFFFCC">
            <a:alpha val="50196"/>
          </a:srgbClr>
        </a:solidFill>
        <a:ln w="9525">
          <a:solidFill>
            <a:srgbClr val="FFCC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81112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62223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43335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24446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05558" algn="l" defTabSz="962223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886669" algn="l" defTabSz="962223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367781" algn="l" defTabSz="962223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848892" algn="l" defTabSz="962223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>
              <a:solidFill>
                <a:srgbClr val="FF9933"/>
              </a:solidFill>
              <a:latin typeface="LG스마트체2.0 Regular" panose="020B0600000101010101" pitchFamily="50" charset="-127"/>
              <a:ea typeface="LG스마트체2.0 Regular" panose="020B0600000101010101" pitchFamily="50" charset="-127"/>
            </a:rPr>
            <a:t>예시</a:t>
          </a:r>
          <a:r>
            <a:rPr lang="en-US" altLang="ko-KR" sz="1600">
              <a:solidFill>
                <a:srgbClr val="FF9933"/>
              </a:solidFill>
              <a:latin typeface="LG스마트체2.0 Regular" panose="020B0600000101010101" pitchFamily="50" charset="-127"/>
              <a:ea typeface="LG스마트체2.0 Regular" panose="020B0600000101010101" pitchFamily="50" charset="-127"/>
            </a:rPr>
            <a:t> (</a:t>
          </a:r>
          <a:r>
            <a:rPr lang="ko-KR" altLang="en-US" sz="1600">
              <a:solidFill>
                <a:srgbClr val="FF9933"/>
              </a:solidFill>
              <a:latin typeface="LG스마트체2.0 Regular" panose="020B0600000101010101" pitchFamily="50" charset="-127"/>
              <a:ea typeface="LG스마트체2.0 Regular" panose="020B0600000101010101" pitchFamily="50" charset="-127"/>
            </a:rPr>
            <a:t>작업중</a:t>
          </a:r>
          <a:r>
            <a:rPr lang="en-US" altLang="ko-KR" sz="1600">
              <a:solidFill>
                <a:srgbClr val="FF9933"/>
              </a:solidFill>
              <a:latin typeface="LG스마트체2.0 Regular" panose="020B0600000101010101" pitchFamily="50" charset="-127"/>
              <a:ea typeface="LG스마트체2.0 Regular" panose="020B0600000101010101" pitchFamily="50" charset="-127"/>
            </a:rPr>
            <a:t>)</a:t>
          </a:r>
          <a:endParaRPr lang="ko-KR" altLang="en-US" sz="1600">
            <a:solidFill>
              <a:srgbClr val="FF9933"/>
            </a:solidFill>
            <a:latin typeface="LG스마트체2.0 Regular" panose="020B0600000101010101" pitchFamily="50" charset="-127"/>
            <a:ea typeface="LG스마트체2.0 Regular" panose="020B0600000101010101" pitchFamily="50" charset="-127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ngyh\Documents\DCTM\view\&#52280;&#44256;5.%2022&#45380;%20&#51204;&#47928;&#44368;&#50977;&#52404;&#44228;%20&#51221;&#47532;_&#49324;&#45236;&#44368;&#50977;%20&#48143;%20&#52968;&#53584;&#52768;%20&#47532;&#49828;&#53944;_ERRC&#51088;&#47308;%20&#52280;&#44256;_v0.1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ngyh\Documents\DCTM\view\&#52280;&#44256;3.%2022&#45380;%20&#51204;&#47928;%20&#44368;&#50977;&#52404;&#44228;%20&#51221;&#47532;_Software%20R&amp;D_AI&#48709;&#45936;&#51060;&#53552;_Pilot_v0.4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ehappy\Documents\DCTM\view\ERRC&#44160;&#53664;&#50577;&#49885;_&#51204;&#47928;_220210_v0.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ngyh\Documents\DOCUMENTUM\CHECKOUT\D_6e7388539_33_\02_LGD_Expert_Academy_&#49345;&#49464;&#44368;&#50977;&#52404;&#44228;(EXCEL)_v0.1_d-090470718a00b42b_4876-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로데이터_과정(KR)"/>
      <sheetName val="★기존과제검토"/>
      <sheetName val="★신규과제작성"/>
      <sheetName val="대체가능Pool(사외)"/>
      <sheetName val="대체가능Pool(Dtube)"/>
      <sheetName val="참고.로데이터_차수(KR)"/>
      <sheetName val="Qrius DX분류"/>
      <sheetName val="LG Qrius_220307기준"/>
      <sheetName val="Sheet1"/>
      <sheetName val="박스기준"/>
      <sheetName val="일정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C11" t="str">
            <v>대체</v>
          </cell>
        </row>
        <row r="12">
          <cell r="C12" t="str">
            <v>폐지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 4. 전문 교육체계 가이드 이미지"/>
      <sheetName val="Step 3. 과정역량직무 Matching"/>
      <sheetName val="Step 2. 과정 Leveling"/>
      <sheetName val="Step 1-2. 과정명 도출"/>
      <sheetName val="Step 1-1. 역량별 KST정리"/>
      <sheetName val="Software R&amp;D정보 (ICE Task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Sheet"/>
      <sheetName val="인원기준"/>
      <sheetName val="작업Guide"/>
      <sheetName val="★기존과제검토"/>
      <sheetName val="Sheet3"/>
      <sheetName val="로데이터_과정(KR)"/>
      <sheetName val="★신규과제작성"/>
      <sheetName val="전략상세내용"/>
      <sheetName val="대체가능Pool(사외)"/>
      <sheetName val="대체가능Pool(Dtube)"/>
      <sheetName val="참고.로데이터_차수(KR)"/>
      <sheetName val="Sheet1"/>
      <sheetName val="박스기준"/>
      <sheetName val="일정계획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2" t="str">
            <v>과정아이디</v>
          </cell>
        </row>
      </sheetData>
      <sheetData sheetId="11" refreshError="1"/>
      <sheetData sheetId="12">
        <row r="11">
          <cell r="C11" t="str">
            <v>대체</v>
          </cell>
        </row>
        <row r="12">
          <cell r="C12" t="str">
            <v>폐지</v>
          </cell>
        </row>
      </sheetData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교육과정 조회"/>
      <sheetName val="2. 영상콘텐츠 조회"/>
      <sheetName val="4. 원본(RD)"/>
      <sheetName val="5. Dtube"/>
      <sheetName val="6. Qrius"/>
      <sheetName val="7. 체계(기준)"/>
      <sheetName val="8. 체계(표기)"/>
    </sheetNames>
    <sheetDataSet>
      <sheetData sheetId="0"/>
      <sheetData sheetId="1"/>
      <sheetData sheetId="2"/>
      <sheetData sheetId="3"/>
      <sheetData sheetId="4"/>
      <sheetData sheetId="5">
        <row r="1">
          <cell r="V1" t="str">
            <v>직종 전체</v>
          </cell>
          <cell r="W1" t="str">
            <v>직무 전체</v>
          </cell>
        </row>
        <row r="2">
          <cell r="W2" t="str">
            <v>Panel 설계</v>
          </cell>
        </row>
        <row r="3">
          <cell r="I3" t="str">
            <v>Academy 전체</v>
          </cell>
          <cell r="W3" t="str">
            <v>회로 설계</v>
          </cell>
        </row>
        <row r="4">
          <cell r="I4" t="str">
            <v>Display 설계</v>
          </cell>
          <cell r="W4" t="str">
            <v>Hardware 알고리즘</v>
          </cell>
        </row>
        <row r="5">
          <cell r="I5" t="str">
            <v>Software R&amp;D</v>
          </cell>
          <cell r="W5" t="str">
            <v>IC 개발</v>
          </cell>
        </row>
        <row r="6">
          <cell r="I6" t="str">
            <v>소재 R&amp;D</v>
          </cell>
        </row>
        <row r="7">
          <cell r="I7" t="str">
            <v>생산 R&amp;D</v>
          </cell>
        </row>
        <row r="8">
          <cell r="I8" t="str">
            <v>분석/평가</v>
          </cell>
        </row>
        <row r="9">
          <cell r="I9" t="str">
            <v>R&amp;D 기획</v>
          </cell>
        </row>
        <row r="10">
          <cell r="I10" t="str">
            <v>생산공정기술</v>
          </cell>
        </row>
        <row r="11">
          <cell r="I11" t="str">
            <v>생산전략관리</v>
          </cell>
        </row>
        <row r="12">
          <cell r="I12" t="str">
            <v>안전환경</v>
          </cell>
        </row>
        <row r="13">
          <cell r="I13" t="str">
            <v>구매</v>
          </cell>
        </row>
        <row r="14">
          <cell r="I14" t="str">
            <v>SCM</v>
          </cell>
        </row>
        <row r="15">
          <cell r="I15" t="str">
            <v>품질</v>
          </cell>
        </row>
        <row r="16">
          <cell r="I16" t="str">
            <v>고객서비스</v>
          </cell>
        </row>
        <row r="17">
          <cell r="I17" t="str">
            <v>상품기획</v>
          </cell>
        </row>
        <row r="18">
          <cell r="I18" t="str">
            <v>디자인</v>
          </cell>
        </row>
        <row r="19">
          <cell r="I19" t="str">
            <v>영업</v>
          </cell>
        </row>
        <row r="20">
          <cell r="I20" t="str">
            <v>마케팅</v>
          </cell>
        </row>
        <row r="21">
          <cell r="I21" t="str">
            <v>재경</v>
          </cell>
        </row>
        <row r="22">
          <cell r="I22" t="str">
            <v>업무혁신</v>
          </cell>
        </row>
        <row r="23">
          <cell r="I23" t="str">
            <v>법무</v>
          </cell>
        </row>
        <row r="24">
          <cell r="I24" t="str">
            <v>진단</v>
          </cell>
        </row>
        <row r="25">
          <cell r="I25" t="str">
            <v>전략기획</v>
          </cell>
        </row>
        <row r="26">
          <cell r="I26" t="str">
            <v>업무지원</v>
          </cell>
        </row>
        <row r="27">
          <cell r="I27" t="str">
            <v>대외협력</v>
          </cell>
        </row>
        <row r="28">
          <cell r="I28" t="str">
            <v>보안</v>
          </cell>
        </row>
        <row r="29">
          <cell r="I29" t="str">
            <v>HR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QIaSJ3LfDeM" TargetMode="External"/><Relationship Id="rId3" Type="http://schemas.openxmlformats.org/officeDocument/2006/relationships/hyperlink" Target="https://www.youtube.com/watch?v=Evv7mmwXASg&amp;list=PLAjknVYTdh7PDL3zTBkCqeWNHOJK_TcHM&amp;index=1" TargetMode="External"/><Relationship Id="rId7" Type="http://schemas.openxmlformats.org/officeDocument/2006/relationships/hyperlink" Target="https://www.youtube.com/watch?v=IvtQfo3c5R0" TargetMode="External"/><Relationship Id="rId2" Type="http://schemas.openxmlformats.org/officeDocument/2006/relationships/hyperlink" Target="https://www.youtube.com/watch?v=9_NtkTi7hqI&amp;list=PLAjknVYTdh7PDL3zTBkCqeWNHOJK_TcHM&amp;index=7&amp;t=13s" TargetMode="External"/><Relationship Id="rId1" Type="http://schemas.openxmlformats.org/officeDocument/2006/relationships/hyperlink" Target="https://www.youtube.com/watch?v=9Jo2DJ_o6BU&amp;list=PLAjknVYTdh7PDL3zTBkCqeWNHOJK_TcHM&amp;index=2" TargetMode="External"/><Relationship Id="rId6" Type="http://schemas.openxmlformats.org/officeDocument/2006/relationships/hyperlink" Target="https://www.youtube.com/watch?v=bdi2Had5jNY&amp;list=PLAjknVYTdh7PDL3zTBkCqeWNHOJK_TcHM&amp;index=3" TargetMode="External"/><Relationship Id="rId11" Type="http://schemas.openxmlformats.org/officeDocument/2006/relationships/hyperlink" Target="https://www.youtube.com/watch?v=czMdgcjrN6A" TargetMode="External"/><Relationship Id="rId5" Type="http://schemas.openxmlformats.org/officeDocument/2006/relationships/hyperlink" Target="https://www.youtube.com/watch?v=GYdt4D4SjL0&amp;list=PLAjknVYTdh7PDL3zTBkCqeWNHOJK_TcHM&amp;index=5" TargetMode="External"/><Relationship Id="rId10" Type="http://schemas.openxmlformats.org/officeDocument/2006/relationships/hyperlink" Target="https://www.youtube.com/watch?v=XEcSLEpckCQ" TargetMode="External"/><Relationship Id="rId4" Type="http://schemas.openxmlformats.org/officeDocument/2006/relationships/hyperlink" Target="https://www.youtube.com/watch?v=O2Smaz9SFmw&amp;list=PLAjknVYTdh7PDL3zTBkCqeWNHOJK_TcHM&amp;index=6" TargetMode="External"/><Relationship Id="rId9" Type="http://schemas.openxmlformats.org/officeDocument/2006/relationships/hyperlink" Target="https://www.youtube.com/watch?v=sdyCOTxGQqQ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marthrd.lgdisplay.com/local/media/link.php?v=MjA1NzR8fHBsYXllcg==" TargetMode="External"/><Relationship Id="rId13" Type="http://schemas.openxmlformats.org/officeDocument/2006/relationships/hyperlink" Target="https://smarthrd.lgdisplay.com/local/media/link.php?v=MjEzNzJ8fHBsYXllcg==" TargetMode="External"/><Relationship Id="rId18" Type="http://schemas.openxmlformats.org/officeDocument/2006/relationships/hyperlink" Target="https://smarthrd.lgdisplay.com/local/media/link.php?v=MjEzNzd8fHBsYXllcg==" TargetMode="External"/><Relationship Id="rId26" Type="http://schemas.openxmlformats.org/officeDocument/2006/relationships/hyperlink" Target="http://edms.lgdisplay.com:8080/Servlet/ContentViewCmd.document?object_id=3F61F860704FCF46E21AC83286FEFB045C54E99F682A0F820827039053E3EF9D&amp;update_log=0&amp;rendition_type=0&amp;url_copy=1&amp;status=E1100" TargetMode="External"/><Relationship Id="rId3" Type="http://schemas.openxmlformats.org/officeDocument/2006/relationships/hyperlink" Target="https://smarthrd.lgdisplay.com/local/media/link.php?v=MjA1Njh8fHBsYXllcg==" TargetMode="External"/><Relationship Id="rId21" Type="http://schemas.openxmlformats.org/officeDocument/2006/relationships/hyperlink" Target="http://edms.lgdisplay.com:8080/Servlet/ContentViewCmd.document?object_id=D974D6B12AFCE1C97E7B2B8545A68966D9BC0F97E62A7BC6BF52E854B572D961&amp;update_log=0&amp;rendition_type=0&amp;url_copy=1&amp;status=E1100" TargetMode="External"/><Relationship Id="rId7" Type="http://schemas.openxmlformats.org/officeDocument/2006/relationships/hyperlink" Target="https://smarthrd.lgdisplay.com/local/media/link.php?v=MjA1NzN8fHBsYXllcg==" TargetMode="External"/><Relationship Id="rId12" Type="http://schemas.openxmlformats.org/officeDocument/2006/relationships/hyperlink" Target="http://edms.lgdisplay.com:8080/Servlet/ContentViewCmd.document?object_id=27E82CC5038ACEC3F27C3C1FCD1A8DB8A810A2D12610DD55EA7E5F17215A9952&amp;update_log=0&amp;rendition_type=0&amp;url_copy=1&amp;status=E1100" TargetMode="External"/><Relationship Id="rId17" Type="http://schemas.openxmlformats.org/officeDocument/2006/relationships/hyperlink" Target="https://smarthrd.lgdisplay.com/local/media/link.php?v=MjEzNzZ8fHBsYXllcg==" TargetMode="External"/><Relationship Id="rId25" Type="http://schemas.openxmlformats.org/officeDocument/2006/relationships/hyperlink" Target="http://edms.lgdisplay.com:8080/Servlet/ContentViewCmd.document?object_id=ZF47A9D8AD68CDB13AC34486DEDEB2A4BA5441DFC5D27854F1DE40F83C7277592&amp;update_log=0&amp;rendition_type=0&amp;url_copy=2" TargetMode="External"/><Relationship Id="rId2" Type="http://schemas.openxmlformats.org/officeDocument/2006/relationships/hyperlink" Target="https://smarthrd.lgdisplay.com/local/media/link.php?v=MjA1Njd8fHBsYXllcg==" TargetMode="External"/><Relationship Id="rId16" Type="http://schemas.openxmlformats.org/officeDocument/2006/relationships/hyperlink" Target="https://smarthrd.lgdisplay.com/local/media/link.php?v=MjEzNzV8fHBsYXllcg==" TargetMode="External"/><Relationship Id="rId20" Type="http://schemas.openxmlformats.org/officeDocument/2006/relationships/hyperlink" Target="https://smarthrd.lgdisplay.com/local/media/link.php?v=MjA3Nzh8fHBsYXllcg==" TargetMode="External"/><Relationship Id="rId1" Type="http://schemas.openxmlformats.org/officeDocument/2006/relationships/hyperlink" Target="http://edms.lgdisplay.com:8080/Servlet/ContentViewCmd.document?object_id=Z62FE139BAB2EB49FA5298014D67CF674DB6908BEB6780A7FA6D281CBC49A78D9&amp;update_log=0&amp;rendition_type=0&amp;url_copy=1" TargetMode="External"/><Relationship Id="rId6" Type="http://schemas.openxmlformats.org/officeDocument/2006/relationships/hyperlink" Target="https://smarthrd.lgdisplay.com/local/media/link.php?v=MjA1NzF8fHBsYXllcg==" TargetMode="External"/><Relationship Id="rId11" Type="http://schemas.openxmlformats.org/officeDocument/2006/relationships/hyperlink" Target="http://edms.lgdisplay.com:8080/Servlet/ContentViewCmd.document?object_id=ZB8AE0049FAA9CB6C02DC9992636BAAD952642B803BD9F8DED851789735497CA7&amp;update_log=0&amp;rendition_type=0&amp;url_copy=1" TargetMode="External"/><Relationship Id="rId24" Type="http://schemas.openxmlformats.org/officeDocument/2006/relationships/hyperlink" Target="http://edms.lgdisplay.com:8080/Servlet/ContentViewCmd.document?object_id=Z49BFA8362BDC4BF8B3D9E5DC18A16AC246F3FB1F7E88D53EB842DB46537723E7&amp;update_log=0&amp;rendition_type=0&amp;url_copy=1" TargetMode="External"/><Relationship Id="rId5" Type="http://schemas.openxmlformats.org/officeDocument/2006/relationships/hyperlink" Target="https://smarthrd.lgdisplay.com/local/media/link.php?v=MjA1NzB8fHBsYXllcg==" TargetMode="External"/><Relationship Id="rId15" Type="http://schemas.openxmlformats.org/officeDocument/2006/relationships/hyperlink" Target="https://smarthrd.lgdisplay.com/local/media/link.php?v=MjEzNzR8fHBsYXllcg==" TargetMode="External"/><Relationship Id="rId23" Type="http://schemas.openxmlformats.org/officeDocument/2006/relationships/hyperlink" Target="http://edms.lgdisplay.com:8080/Servlet/ContentViewCmd.document?object_id=Z411F76E74EB1C41B6BC53739353EBEE972706A34FAEC1F3C38A9090E1FA4205E&amp;update_log=0&amp;rendition_type=0&amp;url_copy=1" TargetMode="External"/><Relationship Id="rId28" Type="http://schemas.openxmlformats.org/officeDocument/2006/relationships/printerSettings" Target="../printerSettings/printerSettings4.bin"/><Relationship Id="rId10" Type="http://schemas.openxmlformats.org/officeDocument/2006/relationships/hyperlink" Target="https://smarthrd.lgdisplay.com/local/media/link.php?v=MTc4Njl8fHBsYXllcg==" TargetMode="External"/><Relationship Id="rId19" Type="http://schemas.openxmlformats.org/officeDocument/2006/relationships/hyperlink" Target="https://smarthrd.lgdisplay.com/local/media/link.php?v=MjEzNzh8fHBsYXllcg==" TargetMode="External"/><Relationship Id="rId4" Type="http://schemas.openxmlformats.org/officeDocument/2006/relationships/hyperlink" Target="https://smarthrd.lgdisplay.com/local/media/link.php?v=MjA1NzB8fHBsYXllcg==" TargetMode="External"/><Relationship Id="rId9" Type="http://schemas.openxmlformats.org/officeDocument/2006/relationships/hyperlink" Target="https://smarthrd.lgdisplay.com/local/media/link.php?v=MjA1NzJ8fHBsYXllcg==" TargetMode="External"/><Relationship Id="rId14" Type="http://schemas.openxmlformats.org/officeDocument/2006/relationships/hyperlink" Target="https://smarthrd.lgdisplay.com/local/media/link.php?v=MjEzNzN8fHBsYXllcg==" TargetMode="External"/><Relationship Id="rId22" Type="http://schemas.openxmlformats.org/officeDocument/2006/relationships/hyperlink" Target="https://smarthrd.lgdisplay.com/local/media/link.php?v=MjE2NjR8fHBsYXllcg==" TargetMode="External"/><Relationship Id="rId27" Type="http://schemas.openxmlformats.org/officeDocument/2006/relationships/hyperlink" Target="http://edms.lgdisplay.com:8080/Servlet/ContentViewCmd.document?object_id=Z0C50C129E59C4ED26BA52FDF23A974E8058E8C11354EB210C668E3949D260C7A&amp;update_log=0&amp;rendition_type=0&amp;url_copy=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9LPyFwFDuvw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6B7C-9E78-4F62-8A3B-A612FCF6BF2A}">
  <dimension ref="A3:X32"/>
  <sheetViews>
    <sheetView showGridLines="0" zoomScaleNormal="100" workbookViewId="0">
      <selection activeCell="C4" sqref="C4:F5"/>
    </sheetView>
  </sheetViews>
  <sheetFormatPr defaultColWidth="9.140625" defaultRowHeight="13.5" x14ac:dyDescent="0.25"/>
  <cols>
    <col min="1" max="1" width="4.140625" style="218" customWidth="1"/>
    <col min="2" max="2" width="4.7109375" style="218" customWidth="1"/>
    <col min="3" max="3" width="11.7109375" style="218" customWidth="1"/>
    <col min="4" max="4" width="16.7109375" style="218" customWidth="1"/>
    <col min="5" max="5" width="31.140625" style="218" customWidth="1"/>
    <col min="6" max="23" width="8.7109375" style="218" customWidth="1"/>
    <col min="24" max="24" width="14.28515625" style="218" customWidth="1"/>
    <col min="25" max="16384" width="9.140625" style="218"/>
  </cols>
  <sheetData>
    <row r="3" spans="1:24" x14ac:dyDescent="0.25">
      <c r="P3" s="289" t="s">
        <v>453</v>
      </c>
    </row>
    <row r="4" spans="1:24" s="288" customFormat="1" ht="17.25" customHeight="1" x14ac:dyDescent="0.25">
      <c r="A4" s="230"/>
      <c r="B4" s="323" t="s">
        <v>455</v>
      </c>
      <c r="C4" s="319" t="s">
        <v>452</v>
      </c>
      <c r="D4" s="319"/>
      <c r="E4" s="319"/>
      <c r="F4" s="320"/>
      <c r="G4" s="313" t="s">
        <v>451</v>
      </c>
      <c r="H4" s="314"/>
      <c r="I4" s="314"/>
      <c r="J4" s="314"/>
      <c r="K4" s="315" t="s">
        <v>450</v>
      </c>
      <c r="L4" s="316"/>
      <c r="M4" s="316"/>
      <c r="N4" s="316"/>
      <c r="O4" s="316"/>
      <c r="P4" s="313" t="s">
        <v>449</v>
      </c>
      <c r="Q4" s="314"/>
      <c r="R4" s="314"/>
      <c r="S4" s="314"/>
      <c r="T4" s="315" t="s">
        <v>448</v>
      </c>
      <c r="U4" s="316"/>
      <c r="V4" s="316"/>
      <c r="W4" s="316"/>
      <c r="X4" s="317" t="s">
        <v>447</v>
      </c>
    </row>
    <row r="5" spans="1:24" s="285" customFormat="1" ht="17.25" customHeight="1" x14ac:dyDescent="0.25">
      <c r="A5" s="230"/>
      <c r="B5" s="324"/>
      <c r="C5" s="321"/>
      <c r="D5" s="321"/>
      <c r="E5" s="321"/>
      <c r="F5" s="322"/>
      <c r="G5" s="287" t="s">
        <v>443</v>
      </c>
      <c r="H5" s="287" t="s">
        <v>442</v>
      </c>
      <c r="I5" s="287" t="s">
        <v>441</v>
      </c>
      <c r="J5" s="287" t="s">
        <v>446</v>
      </c>
      <c r="K5" s="286" t="s">
        <v>443</v>
      </c>
      <c r="L5" s="286" t="s">
        <v>442</v>
      </c>
      <c r="M5" s="286" t="s">
        <v>441</v>
      </c>
      <c r="N5" s="286" t="s">
        <v>444</v>
      </c>
      <c r="O5" s="286" t="s">
        <v>445</v>
      </c>
      <c r="P5" s="287" t="s">
        <v>443</v>
      </c>
      <c r="Q5" s="287" t="s">
        <v>442</v>
      </c>
      <c r="R5" s="287" t="s">
        <v>441</v>
      </c>
      <c r="S5" s="287" t="s">
        <v>444</v>
      </c>
      <c r="T5" s="286" t="s">
        <v>443</v>
      </c>
      <c r="U5" s="286" t="s">
        <v>442</v>
      </c>
      <c r="V5" s="286" t="s">
        <v>441</v>
      </c>
      <c r="W5" s="286" t="s">
        <v>440</v>
      </c>
      <c r="X5" s="318"/>
    </row>
    <row r="6" spans="1:24" s="221" customFormat="1" ht="17.25" customHeight="1" x14ac:dyDescent="0.25">
      <c r="A6" s="230"/>
      <c r="B6" s="325"/>
      <c r="C6" s="284" t="s">
        <v>454</v>
      </c>
      <c r="D6" s="283" t="s">
        <v>439</v>
      </c>
      <c r="E6" s="282" t="s">
        <v>438</v>
      </c>
      <c r="F6" s="281" t="s">
        <v>437</v>
      </c>
      <c r="G6" s="280" t="s">
        <v>436</v>
      </c>
      <c r="H6" s="280" t="s">
        <v>435</v>
      </c>
      <c r="I6" s="280" t="s">
        <v>434</v>
      </c>
      <c r="J6" s="280" t="s">
        <v>433</v>
      </c>
      <c r="K6" s="280" t="s">
        <v>432</v>
      </c>
      <c r="L6" s="280" t="s">
        <v>431</v>
      </c>
      <c r="M6" s="280" t="s">
        <v>430</v>
      </c>
      <c r="N6" s="280" t="s">
        <v>429</v>
      </c>
      <c r="O6" s="280" t="s">
        <v>428</v>
      </c>
      <c r="P6" s="280" t="s">
        <v>427</v>
      </c>
      <c r="Q6" s="280" t="s">
        <v>426</v>
      </c>
      <c r="R6" s="280" t="s">
        <v>425</v>
      </c>
      <c r="S6" s="280" t="s">
        <v>424</v>
      </c>
      <c r="T6" s="280" t="s">
        <v>423</v>
      </c>
      <c r="U6" s="280" t="s">
        <v>422</v>
      </c>
      <c r="V6" s="280" t="s">
        <v>421</v>
      </c>
      <c r="W6" s="280" t="s">
        <v>420</v>
      </c>
      <c r="X6" s="318"/>
    </row>
    <row r="7" spans="1:24" s="221" customFormat="1" ht="21" customHeight="1" x14ac:dyDescent="0.25">
      <c r="A7" s="230"/>
      <c r="B7" s="239">
        <v>1</v>
      </c>
      <c r="C7" s="238" t="s">
        <v>419</v>
      </c>
      <c r="D7" s="279" t="s">
        <v>418</v>
      </c>
      <c r="E7" s="278" t="s">
        <v>417</v>
      </c>
      <c r="F7" s="277" t="s">
        <v>392</v>
      </c>
      <c r="G7" s="242">
        <v>6</v>
      </c>
      <c r="H7" s="242"/>
      <c r="I7" s="276"/>
      <c r="J7" s="275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74"/>
    </row>
    <row r="8" spans="1:24" s="221" customFormat="1" ht="21" customHeight="1" x14ac:dyDescent="0.25">
      <c r="A8" s="230"/>
      <c r="B8" s="229"/>
      <c r="C8" s="228"/>
      <c r="D8" s="227" t="s">
        <v>416</v>
      </c>
      <c r="E8" s="226" t="s">
        <v>415</v>
      </c>
      <c r="F8" s="273" t="s">
        <v>392</v>
      </c>
      <c r="G8" s="272"/>
      <c r="H8" s="272">
        <v>13</v>
      </c>
      <c r="I8" s="271" t="s">
        <v>414</v>
      </c>
      <c r="J8" s="270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69"/>
    </row>
    <row r="9" spans="1:24" s="221" customFormat="1" ht="21" customHeight="1" x14ac:dyDescent="0.25">
      <c r="A9" s="230"/>
      <c r="B9" s="239">
        <v>2</v>
      </c>
      <c r="C9" s="238" t="s">
        <v>407</v>
      </c>
      <c r="D9" s="237" t="s">
        <v>413</v>
      </c>
      <c r="E9" s="249" t="s">
        <v>412</v>
      </c>
      <c r="F9" s="248" t="s">
        <v>392</v>
      </c>
      <c r="G9" s="242"/>
      <c r="H9" s="242" t="s">
        <v>411</v>
      </c>
      <c r="I9" s="242"/>
      <c r="J9" s="242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6"/>
    </row>
    <row r="10" spans="1:24" s="221" customFormat="1" ht="21" customHeight="1" x14ac:dyDescent="0.25">
      <c r="A10" s="230"/>
      <c r="B10" s="239"/>
      <c r="C10" s="238"/>
      <c r="D10" s="237"/>
      <c r="E10" s="245" t="s">
        <v>410</v>
      </c>
      <c r="F10" s="244" t="s">
        <v>392</v>
      </c>
      <c r="G10" s="268"/>
      <c r="H10" s="268"/>
      <c r="I10" s="242"/>
      <c r="J10" s="242" t="s">
        <v>485</v>
      </c>
      <c r="K10" s="267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40"/>
    </row>
    <row r="11" spans="1:24" s="221" customFormat="1" ht="21" customHeight="1" x14ac:dyDescent="0.25">
      <c r="A11" s="230"/>
      <c r="B11" s="239"/>
      <c r="C11" s="238"/>
      <c r="D11" s="237"/>
      <c r="E11" s="249" t="s">
        <v>409</v>
      </c>
      <c r="F11" s="248" t="s">
        <v>392</v>
      </c>
      <c r="G11" s="242"/>
      <c r="H11" s="242"/>
      <c r="I11" s="242"/>
      <c r="J11" s="266" t="s">
        <v>403</v>
      </c>
      <c r="K11" s="292" t="s">
        <v>487</v>
      </c>
      <c r="L11" s="266" t="s">
        <v>403</v>
      </c>
      <c r="M11" s="265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6"/>
    </row>
    <row r="12" spans="1:24" s="221" customFormat="1" ht="21" customHeight="1" x14ac:dyDescent="0.25">
      <c r="A12" s="230"/>
      <c r="B12" s="239"/>
      <c r="C12" s="238"/>
      <c r="D12" s="264"/>
      <c r="E12" s="236" t="s">
        <v>408</v>
      </c>
      <c r="F12" s="290" t="s">
        <v>401</v>
      </c>
      <c r="G12" s="263"/>
      <c r="H12" s="263"/>
      <c r="I12" s="263"/>
      <c r="J12" s="263"/>
      <c r="K12" s="292" t="s">
        <v>487</v>
      </c>
      <c r="L12" s="243"/>
      <c r="M12" s="266" t="s">
        <v>403</v>
      </c>
      <c r="N12" s="262"/>
      <c r="O12" s="232"/>
      <c r="P12" s="232"/>
      <c r="Q12" s="232"/>
      <c r="R12" s="232"/>
      <c r="S12" s="232"/>
      <c r="T12" s="232"/>
      <c r="U12" s="232"/>
      <c r="V12" s="232"/>
      <c r="W12" s="232"/>
      <c r="X12" s="231"/>
    </row>
    <row r="13" spans="1:24" s="221" customFormat="1" ht="21" customHeight="1" x14ac:dyDescent="0.25">
      <c r="A13" s="230"/>
      <c r="B13" s="239"/>
      <c r="C13" s="238"/>
      <c r="D13" s="237" t="s">
        <v>407</v>
      </c>
      <c r="E13" s="249" t="s">
        <v>406</v>
      </c>
      <c r="F13" s="261" t="s">
        <v>401</v>
      </c>
      <c r="G13" s="242"/>
      <c r="H13" s="242"/>
      <c r="I13" s="242"/>
      <c r="J13" s="260"/>
      <c r="K13" s="260" t="s">
        <v>405</v>
      </c>
      <c r="L13" s="260" t="s">
        <v>405</v>
      </c>
      <c r="M13" s="260" t="s">
        <v>405</v>
      </c>
      <c r="N13" s="247"/>
      <c r="O13" s="247"/>
      <c r="P13" s="247"/>
      <c r="Q13" s="241"/>
      <c r="R13" s="241"/>
      <c r="S13" s="241"/>
      <c r="T13" s="241"/>
      <c r="U13" s="241"/>
      <c r="V13" s="241"/>
      <c r="W13" s="241"/>
      <c r="X13" s="246"/>
    </row>
    <row r="14" spans="1:24" s="221" customFormat="1" ht="21" customHeight="1" x14ac:dyDescent="0.25">
      <c r="A14" s="230"/>
      <c r="B14" s="239"/>
      <c r="C14" s="238"/>
      <c r="D14" s="237"/>
      <c r="E14" s="245" t="s">
        <v>404</v>
      </c>
      <c r="F14" s="259" t="s">
        <v>401</v>
      </c>
      <c r="G14" s="243"/>
      <c r="H14" s="243"/>
      <c r="I14" s="243"/>
      <c r="J14" s="243"/>
      <c r="K14" s="243"/>
      <c r="L14" s="243"/>
      <c r="M14" s="243" t="s">
        <v>591</v>
      </c>
      <c r="N14" s="258" t="s">
        <v>403</v>
      </c>
      <c r="O14" s="241"/>
      <c r="P14" s="241"/>
      <c r="Q14" s="241"/>
      <c r="R14" s="241"/>
      <c r="S14" s="241"/>
      <c r="T14" s="241"/>
      <c r="U14" s="241"/>
      <c r="V14" s="241"/>
      <c r="W14" s="241"/>
      <c r="X14" s="240"/>
    </row>
    <row r="15" spans="1:24" s="221" customFormat="1" ht="21" customHeight="1" x14ac:dyDescent="0.25">
      <c r="A15" s="230"/>
      <c r="B15" s="229"/>
      <c r="C15" s="228"/>
      <c r="D15" s="227"/>
      <c r="E15" s="257" t="s">
        <v>402</v>
      </c>
      <c r="F15" s="256" t="s">
        <v>401</v>
      </c>
      <c r="G15" s="225"/>
      <c r="H15" s="225"/>
      <c r="I15" s="225"/>
      <c r="J15" s="225"/>
      <c r="K15" s="223"/>
      <c r="L15" s="223"/>
      <c r="M15" s="223"/>
      <c r="N15" s="223" t="s">
        <v>592</v>
      </c>
      <c r="O15" s="223" t="s">
        <v>479</v>
      </c>
      <c r="P15" s="255" t="s">
        <v>400</v>
      </c>
      <c r="Q15" s="254"/>
      <c r="R15" s="254"/>
      <c r="S15" s="254"/>
      <c r="T15" s="223"/>
      <c r="U15" s="223"/>
      <c r="V15" s="223"/>
      <c r="W15" s="223"/>
      <c r="X15" s="253"/>
    </row>
    <row r="16" spans="1:24" s="221" customFormat="1" ht="21" customHeight="1" x14ac:dyDescent="0.25">
      <c r="A16" s="230"/>
      <c r="B16" s="252">
        <v>3</v>
      </c>
      <c r="C16" s="251" t="s">
        <v>393</v>
      </c>
      <c r="D16" s="250" t="s">
        <v>399</v>
      </c>
      <c r="E16" s="249" t="s">
        <v>398</v>
      </c>
      <c r="F16" s="248" t="s">
        <v>392</v>
      </c>
      <c r="G16" s="243"/>
      <c r="H16" s="243"/>
      <c r="I16" s="243"/>
      <c r="J16" s="243"/>
      <c r="K16" s="241"/>
      <c r="L16" s="241"/>
      <c r="M16" s="241"/>
      <c r="N16" s="241"/>
      <c r="O16" s="241" t="s">
        <v>479</v>
      </c>
      <c r="P16" s="247"/>
      <c r="Q16" s="241"/>
      <c r="R16" s="241"/>
      <c r="S16" s="241"/>
      <c r="T16" s="241"/>
      <c r="U16" s="241"/>
      <c r="V16" s="241"/>
      <c r="W16" s="241"/>
      <c r="X16" s="246"/>
    </row>
    <row r="17" spans="1:24" s="221" customFormat="1" ht="21" customHeight="1" x14ac:dyDescent="0.25">
      <c r="A17" s="230"/>
      <c r="B17" s="239"/>
      <c r="C17" s="238"/>
      <c r="D17" s="237"/>
      <c r="E17" s="249" t="s">
        <v>397</v>
      </c>
      <c r="F17" s="248" t="s">
        <v>396</v>
      </c>
      <c r="G17" s="243"/>
      <c r="H17" s="243"/>
      <c r="I17" s="243"/>
      <c r="J17" s="243"/>
      <c r="K17" s="241"/>
      <c r="L17" s="241"/>
      <c r="M17" s="241"/>
      <c r="N17" s="241"/>
      <c r="O17" s="241" t="s">
        <v>480</v>
      </c>
      <c r="P17" s="247"/>
      <c r="Q17" s="241"/>
      <c r="R17" s="241"/>
      <c r="S17" s="241"/>
      <c r="T17" s="241"/>
      <c r="U17" s="241"/>
      <c r="V17" s="241"/>
      <c r="W17" s="241"/>
      <c r="X17" s="246"/>
    </row>
    <row r="18" spans="1:24" s="221" customFormat="1" ht="21" customHeight="1" x14ac:dyDescent="0.25">
      <c r="A18" s="230"/>
      <c r="B18" s="239"/>
      <c r="C18" s="238"/>
      <c r="D18" s="237"/>
      <c r="E18" s="245" t="s">
        <v>395</v>
      </c>
      <c r="F18" s="244" t="s">
        <v>392</v>
      </c>
      <c r="G18" s="243"/>
      <c r="H18" s="243"/>
      <c r="I18" s="243"/>
      <c r="J18" s="243"/>
      <c r="K18" s="241"/>
      <c r="L18" s="241"/>
      <c r="M18" s="241"/>
      <c r="N18" s="241"/>
      <c r="O18" s="241"/>
      <c r="P18" s="241" t="s">
        <v>481</v>
      </c>
      <c r="Q18" s="241"/>
      <c r="R18" s="241"/>
      <c r="S18" s="241"/>
      <c r="T18" s="241"/>
      <c r="U18" s="241"/>
      <c r="V18" s="241"/>
      <c r="W18" s="241"/>
      <c r="X18" s="240"/>
    </row>
    <row r="19" spans="1:24" s="221" customFormat="1" ht="21" customHeight="1" x14ac:dyDescent="0.25">
      <c r="A19" s="230"/>
      <c r="B19" s="239"/>
      <c r="C19" s="238"/>
      <c r="D19" s="237"/>
      <c r="E19" s="245" t="s">
        <v>394</v>
      </c>
      <c r="F19" s="244" t="s">
        <v>392</v>
      </c>
      <c r="G19" s="243"/>
      <c r="H19" s="243"/>
      <c r="I19" s="243"/>
      <c r="J19" s="243"/>
      <c r="K19" s="241"/>
      <c r="L19" s="241"/>
      <c r="M19" s="242"/>
      <c r="N19" s="241"/>
      <c r="O19" s="241"/>
      <c r="P19" s="242" t="s">
        <v>482</v>
      </c>
      <c r="Q19" s="242" t="s">
        <v>483</v>
      </c>
      <c r="R19" s="241"/>
      <c r="S19" s="241"/>
      <c r="T19" s="241"/>
      <c r="U19" s="241"/>
      <c r="V19" s="241"/>
      <c r="W19" s="241"/>
      <c r="X19" s="240"/>
    </row>
    <row r="20" spans="1:24" s="221" customFormat="1" ht="21" customHeight="1" x14ac:dyDescent="0.25">
      <c r="A20" s="230"/>
      <c r="B20" s="239"/>
      <c r="C20" s="238"/>
      <c r="D20" s="237"/>
      <c r="E20" s="236" t="s">
        <v>393</v>
      </c>
      <c r="F20" s="235" t="s">
        <v>392</v>
      </c>
      <c r="G20" s="234"/>
      <c r="H20" s="234"/>
      <c r="I20" s="234"/>
      <c r="J20" s="234"/>
      <c r="K20" s="232"/>
      <c r="L20" s="232"/>
      <c r="M20" s="232"/>
      <c r="N20" s="232"/>
      <c r="O20" s="232"/>
      <c r="P20" s="232"/>
      <c r="Q20" s="233" t="s">
        <v>477</v>
      </c>
      <c r="R20" s="233" t="s">
        <v>478</v>
      </c>
      <c r="S20" s="232"/>
      <c r="T20" s="232"/>
      <c r="U20" s="232"/>
      <c r="V20" s="232"/>
      <c r="W20" s="232"/>
      <c r="X20" s="231"/>
    </row>
    <row r="21" spans="1:24" s="221" customFormat="1" ht="21" customHeight="1" x14ac:dyDescent="0.25">
      <c r="A21" s="230"/>
      <c r="B21" s="229"/>
      <c r="C21" s="228"/>
      <c r="D21" s="227"/>
      <c r="E21" s="226" t="s">
        <v>391</v>
      </c>
      <c r="F21" s="273" t="s">
        <v>392</v>
      </c>
      <c r="G21" s="225"/>
      <c r="H21" s="225"/>
      <c r="I21" s="225"/>
      <c r="J21" s="225"/>
      <c r="K21" s="223"/>
      <c r="L21" s="223"/>
      <c r="M21" s="223"/>
      <c r="N21" s="223"/>
      <c r="O21" s="223"/>
      <c r="P21" s="223"/>
      <c r="Q21" s="223"/>
      <c r="R21" s="223"/>
      <c r="S21" s="224" t="s">
        <v>484</v>
      </c>
      <c r="T21" s="223"/>
      <c r="U21" s="223"/>
      <c r="V21" s="223"/>
      <c r="W21" s="223"/>
      <c r="X21" s="222"/>
    </row>
    <row r="22" spans="1:24" s="219" customFormat="1" ht="14.25" x14ac:dyDescent="0.25">
      <c r="B22" s="291" t="s">
        <v>457</v>
      </c>
      <c r="C22" s="220"/>
      <c r="J22" s="291" t="s">
        <v>593</v>
      </c>
    </row>
    <row r="23" spans="1:24" s="220" customFormat="1" ht="12.75" x14ac:dyDescent="0.25">
      <c r="C23" s="220" t="s">
        <v>458</v>
      </c>
    </row>
    <row r="24" spans="1:24" s="220" customFormat="1" ht="12.75" x14ac:dyDescent="0.25">
      <c r="C24" s="220" t="s">
        <v>459</v>
      </c>
      <c r="J24" s="220" t="s">
        <v>596</v>
      </c>
    </row>
    <row r="25" spans="1:24" s="220" customFormat="1" ht="12.75" x14ac:dyDescent="0.25">
      <c r="C25" s="220" t="s">
        <v>456</v>
      </c>
      <c r="J25" s="220" t="s">
        <v>594</v>
      </c>
    </row>
    <row r="26" spans="1:24" s="220" customFormat="1" ht="12.75" x14ac:dyDescent="0.25">
      <c r="J26" s="220" t="s">
        <v>595</v>
      </c>
    </row>
    <row r="27" spans="1:24" s="220" customFormat="1" ht="12.75" x14ac:dyDescent="0.25"/>
    <row r="28" spans="1:24" s="220" customFormat="1" ht="12.75" x14ac:dyDescent="0.25"/>
    <row r="29" spans="1:24" s="220" customFormat="1" ht="12.75" x14ac:dyDescent="0.25"/>
    <row r="30" spans="1:24" s="220" customFormat="1" ht="12.75" x14ac:dyDescent="0.25"/>
    <row r="31" spans="1:24" s="220" customFormat="1" ht="12.75" x14ac:dyDescent="0.25"/>
    <row r="32" spans="1:24" s="220" customFormat="1" ht="12.75" x14ac:dyDescent="0.25"/>
  </sheetData>
  <mergeCells count="7">
    <mergeCell ref="P4:S4"/>
    <mergeCell ref="T4:W4"/>
    <mergeCell ref="X4:X6"/>
    <mergeCell ref="C4:F5"/>
    <mergeCell ref="B4:B6"/>
    <mergeCell ref="G4:J4"/>
    <mergeCell ref="K4:O4"/>
  </mergeCells>
  <phoneticPr fontId="2" type="noConversion"/>
  <conditionalFormatting sqref="G4:X4 G5:I5 K5:V5 X5 H6 R6:X6">
    <cfRule type="containsText" dxfId="2" priority="1" operator="containsText" text="데이터 ">
      <formula>NOT(ISERROR(SEARCH("데이터 ",G4)))</formula>
    </cfRule>
    <cfRule type="containsText" dxfId="1" priority="2" operator="containsText" text="데이터">
      <formula>NOT(ISERROR(SEARCH("데이터",G4)))</formula>
    </cfRule>
    <cfRule type="containsText" dxfId="0" priority="3" operator="containsText" text="6시그마">
      <formula>NOT(ISERROR(SEARCH("6시그마",G4)))</formula>
    </cfRule>
  </conditionalFormatting>
  <pageMargins left="0.7" right="0.7" top="0.75" bottom="0.75" header="0.3" footer="0.3"/>
  <ignoredErrors>
    <ignoredError sqref="K11:K1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076A-908E-455C-A2FB-09524FA7737C}">
  <sheetPr>
    <pageSetUpPr fitToPage="1"/>
  </sheetPr>
  <dimension ref="B1:L55"/>
  <sheetViews>
    <sheetView showGridLines="0" tabSelected="1" zoomScaleNormal="100" workbookViewId="0">
      <pane ySplit="3" topLeftCell="A4" activePane="bottomLeft" state="frozen"/>
      <selection activeCell="B16" sqref="B16:B23"/>
      <selection pane="bottomLeft" activeCell="D11" sqref="D11"/>
    </sheetView>
  </sheetViews>
  <sheetFormatPr defaultColWidth="9.140625" defaultRowHeight="14.25" customHeight="1" x14ac:dyDescent="0.25"/>
  <cols>
    <col min="1" max="1" width="1.85546875" style="113" customWidth="1"/>
    <col min="2" max="2" width="23.7109375" style="113" customWidth="1"/>
    <col min="3" max="3" width="34.7109375" style="120" customWidth="1"/>
    <col min="4" max="4" width="106.85546875" style="120" customWidth="1"/>
    <col min="5" max="5" width="8" style="121" customWidth="1"/>
    <col min="6" max="6" width="10.7109375" style="122" customWidth="1"/>
    <col min="7" max="7" width="4.7109375" style="122" customWidth="1"/>
    <col min="8" max="8" width="12.42578125" style="122" customWidth="1"/>
    <col min="9" max="9" width="11.7109375" style="122" hidden="1" customWidth="1"/>
    <col min="10" max="10" width="21.42578125" style="122" customWidth="1"/>
    <col min="11" max="11" width="2.5703125" style="113" customWidth="1"/>
    <col min="12" max="16384" width="9.140625" style="113"/>
  </cols>
  <sheetData>
    <row r="1" spans="2:12" ht="21" customHeight="1" x14ac:dyDescent="0.25">
      <c r="B1" s="26" t="s">
        <v>68</v>
      </c>
      <c r="C1" s="329" t="s">
        <v>338</v>
      </c>
      <c r="D1" s="330"/>
      <c r="E1" s="331"/>
      <c r="F1" s="332" t="s">
        <v>540</v>
      </c>
      <c r="G1" s="332"/>
      <c r="H1" s="332"/>
      <c r="I1" s="332"/>
      <c r="J1" s="333"/>
    </row>
    <row r="2" spans="2:12" ht="21" customHeight="1" x14ac:dyDescent="0.25">
      <c r="B2" s="26" t="s">
        <v>33</v>
      </c>
      <c r="C2" s="334"/>
      <c r="D2" s="335"/>
      <c r="E2" s="335"/>
      <c r="F2" s="335"/>
      <c r="G2" s="335"/>
      <c r="H2" s="335"/>
      <c r="I2" s="335"/>
      <c r="J2" s="336"/>
    </row>
    <row r="3" spans="2:12" s="114" customFormat="1" ht="21" customHeight="1" x14ac:dyDescent="0.25">
      <c r="B3" s="27" t="s">
        <v>34</v>
      </c>
      <c r="C3" s="27" t="s">
        <v>35</v>
      </c>
      <c r="D3" s="26" t="s">
        <v>36</v>
      </c>
      <c r="E3" s="28" t="s">
        <v>85</v>
      </c>
      <c r="F3" s="337" t="s">
        <v>86</v>
      </c>
      <c r="G3" s="338"/>
      <c r="H3" s="29" t="s">
        <v>37</v>
      </c>
      <c r="I3" s="28" t="s">
        <v>76</v>
      </c>
      <c r="J3" s="28" t="s">
        <v>38</v>
      </c>
    </row>
    <row r="4" spans="2:12" ht="16.5" customHeight="1" x14ac:dyDescent="0.25">
      <c r="B4" s="326" t="s">
        <v>556</v>
      </c>
      <c r="C4" s="207" t="s">
        <v>492</v>
      </c>
      <c r="D4" s="212" t="s">
        <v>501</v>
      </c>
      <c r="E4" s="91">
        <v>1</v>
      </c>
      <c r="F4" s="92" t="s">
        <v>75</v>
      </c>
      <c r="G4" s="93">
        <v>1</v>
      </c>
      <c r="H4" s="38"/>
      <c r="I4" s="94"/>
      <c r="J4" s="42" t="s">
        <v>554</v>
      </c>
    </row>
    <row r="5" spans="2:12" ht="16.5" customHeight="1" x14ac:dyDescent="0.25">
      <c r="B5" s="327"/>
      <c r="C5" s="208"/>
      <c r="D5" s="213" t="s">
        <v>541</v>
      </c>
      <c r="E5" s="97">
        <v>2</v>
      </c>
      <c r="F5" s="71" t="s">
        <v>339</v>
      </c>
      <c r="G5" s="72">
        <v>1</v>
      </c>
      <c r="H5" s="73"/>
      <c r="I5" s="74"/>
      <c r="J5" s="75"/>
    </row>
    <row r="6" spans="2:12" ht="16.5" hidden="1" customHeight="1" x14ac:dyDescent="0.25">
      <c r="B6" s="327"/>
      <c r="C6" s="208"/>
      <c r="D6" s="213"/>
      <c r="E6" s="97"/>
      <c r="F6" s="71"/>
      <c r="G6" s="72"/>
      <c r="H6" s="73"/>
      <c r="I6" s="74"/>
      <c r="J6" s="75"/>
    </row>
    <row r="7" spans="2:12" ht="16.5" customHeight="1" x14ac:dyDescent="0.25">
      <c r="B7" s="327"/>
      <c r="C7" s="209" t="s">
        <v>493</v>
      </c>
      <c r="D7" s="214" t="s">
        <v>542</v>
      </c>
      <c r="E7" s="85">
        <v>1</v>
      </c>
      <c r="F7" s="86" t="s">
        <v>75</v>
      </c>
      <c r="G7" s="87">
        <v>1</v>
      </c>
      <c r="H7" s="39"/>
      <c r="I7" s="88"/>
      <c r="J7" s="36" t="s">
        <v>554</v>
      </c>
      <c r="L7" s="113" t="s">
        <v>543</v>
      </c>
    </row>
    <row r="8" spans="2:12" ht="16.5" customHeight="1" x14ac:dyDescent="0.25">
      <c r="B8" s="327"/>
      <c r="C8" s="209"/>
      <c r="D8" s="214" t="s">
        <v>546</v>
      </c>
      <c r="E8" s="85">
        <v>2</v>
      </c>
      <c r="F8" s="86" t="s">
        <v>75</v>
      </c>
      <c r="G8" s="87">
        <v>1</v>
      </c>
      <c r="H8" s="39"/>
      <c r="I8" s="88"/>
      <c r="J8" s="36"/>
      <c r="L8" s="113" t="s">
        <v>544</v>
      </c>
    </row>
    <row r="9" spans="2:12" ht="16.5" customHeight="1" x14ac:dyDescent="0.25">
      <c r="B9" s="327"/>
      <c r="C9" s="209"/>
      <c r="D9" s="214" t="s">
        <v>552</v>
      </c>
      <c r="E9" s="85">
        <f>3+2</f>
        <v>5</v>
      </c>
      <c r="F9" s="86" t="s">
        <v>75</v>
      </c>
      <c r="G9" s="87">
        <v>2</v>
      </c>
      <c r="H9" s="39"/>
      <c r="I9" s="88"/>
      <c r="J9" s="36"/>
      <c r="L9" s="113" t="s">
        <v>545</v>
      </c>
    </row>
    <row r="10" spans="2:12" ht="16.5" customHeight="1" x14ac:dyDescent="0.25">
      <c r="B10" s="327"/>
      <c r="C10" s="208"/>
      <c r="D10" s="213" t="s">
        <v>559</v>
      </c>
      <c r="E10" s="97">
        <v>1</v>
      </c>
      <c r="F10" s="71" t="s">
        <v>75</v>
      </c>
      <c r="G10" s="72">
        <v>1</v>
      </c>
      <c r="H10" s="73"/>
      <c r="I10" s="74"/>
      <c r="J10" s="75"/>
      <c r="L10" s="113" t="s">
        <v>558</v>
      </c>
    </row>
    <row r="11" spans="2:12" ht="16.5" customHeight="1" x14ac:dyDescent="0.25">
      <c r="B11" s="327"/>
      <c r="C11" s="294" t="s">
        <v>605</v>
      </c>
      <c r="D11" s="214" t="s">
        <v>613</v>
      </c>
      <c r="E11" s="85">
        <v>2</v>
      </c>
      <c r="F11" s="86" t="s">
        <v>339</v>
      </c>
      <c r="G11" s="87">
        <v>1</v>
      </c>
      <c r="H11" s="39"/>
      <c r="I11" s="88"/>
      <c r="J11" s="36" t="s">
        <v>553</v>
      </c>
    </row>
    <row r="12" spans="2:12" ht="16.5" customHeight="1" x14ac:dyDescent="0.25">
      <c r="B12" s="327"/>
      <c r="C12" s="294"/>
      <c r="D12" s="214" t="s">
        <v>612</v>
      </c>
      <c r="E12" s="85">
        <v>2</v>
      </c>
      <c r="F12" s="86" t="s">
        <v>75</v>
      </c>
      <c r="G12" s="87">
        <v>1</v>
      </c>
      <c r="H12" s="39"/>
      <c r="I12" s="88"/>
      <c r="J12" s="36"/>
    </row>
    <row r="13" spans="2:12" ht="16.5" customHeight="1" x14ac:dyDescent="0.25">
      <c r="B13" s="327"/>
      <c r="C13" s="294"/>
      <c r="D13" s="214" t="s">
        <v>614</v>
      </c>
      <c r="E13" s="85">
        <v>3</v>
      </c>
      <c r="F13" s="86" t="s">
        <v>75</v>
      </c>
      <c r="G13" s="87">
        <v>2</v>
      </c>
      <c r="H13" s="39"/>
      <c r="I13" s="88"/>
      <c r="J13" s="36"/>
    </row>
    <row r="14" spans="2:12" ht="16.5" customHeight="1" x14ac:dyDescent="0.25">
      <c r="B14" s="327"/>
      <c r="C14" s="294"/>
      <c r="D14" s="214" t="s">
        <v>615</v>
      </c>
      <c r="E14" s="85">
        <v>2</v>
      </c>
      <c r="F14" s="86" t="s">
        <v>75</v>
      </c>
      <c r="G14" s="87">
        <v>1</v>
      </c>
      <c r="H14" s="39"/>
      <c r="I14" s="88"/>
      <c r="J14" s="36"/>
    </row>
    <row r="15" spans="2:12" ht="16.5" customHeight="1" x14ac:dyDescent="0.25">
      <c r="B15" s="327"/>
      <c r="C15" s="294"/>
      <c r="D15" s="214" t="s">
        <v>498</v>
      </c>
      <c r="E15" s="85">
        <v>2</v>
      </c>
      <c r="F15" s="86" t="s">
        <v>75</v>
      </c>
      <c r="G15" s="87">
        <v>1</v>
      </c>
      <c r="H15" s="39"/>
      <c r="I15" s="88"/>
      <c r="J15" s="36"/>
    </row>
    <row r="16" spans="2:12" ht="16.5" customHeight="1" x14ac:dyDescent="0.25">
      <c r="B16" s="327"/>
      <c r="C16" s="208"/>
      <c r="D16" s="213" t="s">
        <v>499</v>
      </c>
      <c r="E16" s="97">
        <v>2</v>
      </c>
      <c r="F16" s="71" t="s">
        <v>75</v>
      </c>
      <c r="G16" s="72">
        <v>1</v>
      </c>
      <c r="H16" s="73"/>
      <c r="I16" s="74"/>
      <c r="J16" s="75"/>
    </row>
    <row r="17" spans="2:10" ht="16.5" customHeight="1" x14ac:dyDescent="0.25">
      <c r="B17" s="327"/>
      <c r="C17" s="294" t="s">
        <v>606</v>
      </c>
      <c r="D17" s="295" t="s">
        <v>547</v>
      </c>
      <c r="E17" s="85">
        <v>2</v>
      </c>
      <c r="F17" s="86" t="s">
        <v>75</v>
      </c>
      <c r="G17" s="87">
        <v>1</v>
      </c>
      <c r="H17" s="39"/>
      <c r="I17" s="88"/>
      <c r="J17" s="36" t="s">
        <v>555</v>
      </c>
    </row>
    <row r="18" spans="2:10" ht="16.5" customHeight="1" x14ac:dyDescent="0.25">
      <c r="B18" s="327"/>
      <c r="C18" s="294"/>
      <c r="D18" s="214" t="s">
        <v>548</v>
      </c>
      <c r="E18" s="85">
        <v>2</v>
      </c>
      <c r="F18" s="86" t="s">
        <v>75</v>
      </c>
      <c r="G18" s="87">
        <v>1</v>
      </c>
      <c r="H18" s="39"/>
      <c r="I18" s="88"/>
      <c r="J18" s="36"/>
    </row>
    <row r="19" spans="2:10" ht="16.5" customHeight="1" x14ac:dyDescent="0.25">
      <c r="B19" s="327"/>
      <c r="C19" s="209"/>
      <c r="D19" s="214" t="s">
        <v>549</v>
      </c>
      <c r="E19" s="85">
        <v>2</v>
      </c>
      <c r="F19" s="86" t="s">
        <v>75</v>
      </c>
      <c r="G19" s="87">
        <v>1</v>
      </c>
      <c r="H19" s="39"/>
      <c r="I19" s="88"/>
      <c r="J19" s="36"/>
    </row>
    <row r="20" spans="2:10" ht="16.5" customHeight="1" x14ac:dyDescent="0.25">
      <c r="B20" s="327"/>
      <c r="C20" s="209"/>
      <c r="D20" s="214" t="s">
        <v>550</v>
      </c>
      <c r="E20" s="85">
        <v>2</v>
      </c>
      <c r="F20" s="86" t="s">
        <v>75</v>
      </c>
      <c r="G20" s="87">
        <v>1</v>
      </c>
      <c r="H20" s="39"/>
      <c r="I20" s="88"/>
      <c r="J20" s="36"/>
    </row>
    <row r="21" spans="2:10" ht="16.5" customHeight="1" x14ac:dyDescent="0.25">
      <c r="B21" s="327"/>
      <c r="C21" s="209"/>
      <c r="D21" s="214" t="s">
        <v>551</v>
      </c>
      <c r="E21" s="85">
        <v>2</v>
      </c>
      <c r="F21" s="86" t="s">
        <v>75</v>
      </c>
      <c r="G21" s="87">
        <v>1</v>
      </c>
      <c r="H21" s="39"/>
      <c r="I21" s="88"/>
      <c r="J21" s="36"/>
    </row>
    <row r="22" spans="2:10" ht="16.5" customHeight="1" x14ac:dyDescent="0.25">
      <c r="B22" s="327"/>
      <c r="C22" s="208"/>
      <c r="D22" s="213" t="s">
        <v>538</v>
      </c>
      <c r="E22" s="97">
        <v>2</v>
      </c>
      <c r="F22" s="71" t="s">
        <v>75</v>
      </c>
      <c r="G22" s="72">
        <v>1</v>
      </c>
      <c r="H22" s="73"/>
      <c r="I22" s="74"/>
      <c r="J22" s="75"/>
    </row>
    <row r="23" spans="2:10" ht="16.5" customHeight="1" x14ac:dyDescent="0.25">
      <c r="B23" s="327"/>
      <c r="C23" s="209" t="s">
        <v>362</v>
      </c>
      <c r="D23" s="214" t="s">
        <v>557</v>
      </c>
      <c r="E23" s="85">
        <v>5</v>
      </c>
      <c r="F23" s="86" t="s">
        <v>580</v>
      </c>
      <c r="G23" s="87">
        <v>2</v>
      </c>
      <c r="H23" s="39"/>
      <c r="I23" s="88"/>
      <c r="J23" s="36"/>
    </row>
    <row r="24" spans="2:10" ht="16.5" hidden="1" customHeight="1" x14ac:dyDescent="0.25">
      <c r="B24" s="327"/>
      <c r="C24" s="208"/>
      <c r="D24" s="213"/>
      <c r="E24" s="97"/>
      <c r="F24" s="71"/>
      <c r="G24" s="72"/>
      <c r="H24" s="73"/>
      <c r="I24" s="74"/>
      <c r="J24" s="75"/>
    </row>
    <row r="25" spans="2:10" ht="16.5" customHeight="1" x14ac:dyDescent="0.25">
      <c r="B25" s="326" t="s">
        <v>568</v>
      </c>
      <c r="C25" s="210" t="s">
        <v>560</v>
      </c>
      <c r="D25" s="215" t="s">
        <v>569</v>
      </c>
      <c r="E25" s="100">
        <v>1</v>
      </c>
      <c r="F25" s="67" t="s">
        <v>75</v>
      </c>
      <c r="G25" s="65">
        <v>1</v>
      </c>
      <c r="H25" s="63"/>
      <c r="I25" s="69"/>
      <c r="J25" s="64"/>
    </row>
    <row r="26" spans="2:10" ht="16.5" customHeight="1" x14ac:dyDescent="0.25">
      <c r="B26" s="327"/>
      <c r="C26" s="294" t="s">
        <v>561</v>
      </c>
      <c r="D26" s="214" t="s">
        <v>562</v>
      </c>
      <c r="E26" s="85">
        <v>10</v>
      </c>
      <c r="F26" s="86" t="s">
        <v>75</v>
      </c>
      <c r="G26" s="87">
        <v>4</v>
      </c>
      <c r="H26" s="39"/>
      <c r="I26" s="88"/>
      <c r="J26" s="36"/>
    </row>
    <row r="27" spans="2:10" ht="16.5" customHeight="1" x14ac:dyDescent="0.25">
      <c r="B27" s="327"/>
      <c r="C27" s="208"/>
      <c r="D27" s="296" t="s">
        <v>573</v>
      </c>
      <c r="E27" s="97"/>
      <c r="F27" s="71" t="s">
        <v>75</v>
      </c>
      <c r="G27" s="72"/>
      <c r="H27" s="73"/>
      <c r="I27" s="74"/>
      <c r="J27" s="75"/>
    </row>
    <row r="28" spans="2:10" ht="16.5" customHeight="1" x14ac:dyDescent="0.25">
      <c r="B28" s="327"/>
      <c r="C28" s="294" t="s">
        <v>563</v>
      </c>
      <c r="D28" s="214" t="s">
        <v>564</v>
      </c>
      <c r="E28" s="85">
        <v>10</v>
      </c>
      <c r="F28" s="86" t="s">
        <v>75</v>
      </c>
      <c r="G28" s="87">
        <v>4</v>
      </c>
      <c r="H28" s="39"/>
      <c r="I28" s="88"/>
      <c r="J28" s="36"/>
    </row>
    <row r="29" spans="2:10" ht="16.5" customHeight="1" x14ac:dyDescent="0.25">
      <c r="B29" s="327"/>
      <c r="C29" s="208"/>
      <c r="D29" s="297" t="s">
        <v>572</v>
      </c>
      <c r="E29" s="97"/>
      <c r="F29" s="71" t="s">
        <v>75</v>
      </c>
      <c r="G29" s="72"/>
      <c r="H29" s="73"/>
      <c r="I29" s="74"/>
      <c r="J29" s="75"/>
    </row>
    <row r="30" spans="2:10" ht="16.5" customHeight="1" x14ac:dyDescent="0.25">
      <c r="B30" s="327"/>
      <c r="C30" s="294" t="s">
        <v>565</v>
      </c>
      <c r="D30" s="214" t="s">
        <v>566</v>
      </c>
      <c r="E30" s="85">
        <v>10</v>
      </c>
      <c r="F30" s="86" t="s">
        <v>75</v>
      </c>
      <c r="G30" s="87">
        <v>4</v>
      </c>
      <c r="H30" s="39"/>
      <c r="I30" s="88"/>
      <c r="J30" s="36"/>
    </row>
    <row r="31" spans="2:10" ht="16.5" customHeight="1" x14ac:dyDescent="0.25">
      <c r="B31" s="327"/>
      <c r="C31" s="208"/>
      <c r="D31" s="296" t="s">
        <v>567</v>
      </c>
      <c r="E31" s="97"/>
      <c r="F31" s="71" t="s">
        <v>75</v>
      </c>
      <c r="G31" s="72"/>
      <c r="H31" s="73"/>
      <c r="I31" s="74"/>
      <c r="J31" s="75"/>
    </row>
    <row r="32" spans="2:10" ht="16.5" customHeight="1" x14ac:dyDescent="0.25">
      <c r="B32" s="327"/>
      <c r="C32" s="305" t="s">
        <v>597</v>
      </c>
      <c r="D32" s="306" t="s">
        <v>598</v>
      </c>
      <c r="E32" s="307">
        <v>5</v>
      </c>
      <c r="F32" s="308"/>
      <c r="G32" s="301"/>
      <c r="H32" s="302"/>
      <c r="I32" s="303"/>
      <c r="J32" s="304" t="s">
        <v>599</v>
      </c>
    </row>
    <row r="33" spans="2:10" ht="16.5" customHeight="1" x14ac:dyDescent="0.25">
      <c r="B33" s="328"/>
      <c r="C33" s="209" t="s">
        <v>362</v>
      </c>
      <c r="D33" s="217" t="s">
        <v>570</v>
      </c>
      <c r="E33" s="148">
        <v>5</v>
      </c>
      <c r="F33" s="68" t="s">
        <v>580</v>
      </c>
      <c r="G33" s="66">
        <v>2</v>
      </c>
      <c r="H33" s="41"/>
      <c r="I33" s="146"/>
      <c r="J33" s="147"/>
    </row>
    <row r="34" spans="2:10" ht="16.5" customHeight="1" x14ac:dyDescent="0.25">
      <c r="B34" s="326" t="s">
        <v>571</v>
      </c>
      <c r="C34" s="210" t="s">
        <v>560</v>
      </c>
      <c r="D34" s="215" t="s">
        <v>574</v>
      </c>
      <c r="E34" s="100">
        <v>2</v>
      </c>
      <c r="F34" s="67" t="s">
        <v>75</v>
      </c>
      <c r="G34" s="65">
        <v>1</v>
      </c>
      <c r="H34" s="63"/>
      <c r="I34" s="69"/>
      <c r="J34" s="64"/>
    </row>
    <row r="35" spans="2:10" ht="16.5" customHeight="1" x14ac:dyDescent="0.25">
      <c r="B35" s="327"/>
      <c r="C35" s="294" t="s">
        <v>586</v>
      </c>
      <c r="D35" s="214" t="s">
        <v>494</v>
      </c>
      <c r="E35" s="85">
        <v>2</v>
      </c>
      <c r="F35" s="86" t="s">
        <v>75</v>
      </c>
      <c r="G35" s="87">
        <v>1</v>
      </c>
      <c r="H35" s="39"/>
      <c r="I35" s="88"/>
      <c r="J35" s="36" t="s">
        <v>539</v>
      </c>
    </row>
    <row r="36" spans="2:10" ht="16.5" customHeight="1" x14ac:dyDescent="0.25">
      <c r="B36" s="327"/>
      <c r="C36" s="294"/>
      <c r="D36" s="214" t="s">
        <v>495</v>
      </c>
      <c r="E36" s="85">
        <v>3</v>
      </c>
      <c r="F36" s="86" t="s">
        <v>75</v>
      </c>
      <c r="G36" s="87">
        <v>1</v>
      </c>
      <c r="H36" s="39"/>
      <c r="I36" s="88"/>
      <c r="J36" s="36"/>
    </row>
    <row r="37" spans="2:10" ht="16.5" customHeight="1" x14ac:dyDescent="0.25">
      <c r="B37" s="327"/>
      <c r="C37" s="209"/>
      <c r="D37" s="214" t="s">
        <v>496</v>
      </c>
      <c r="E37" s="85">
        <v>3</v>
      </c>
      <c r="F37" s="86" t="s">
        <v>75</v>
      </c>
      <c r="G37" s="87"/>
      <c r="H37" s="39"/>
      <c r="I37" s="88"/>
      <c r="J37" s="36"/>
    </row>
    <row r="38" spans="2:10" ht="16.5" customHeight="1" x14ac:dyDescent="0.25">
      <c r="B38" s="327"/>
      <c r="C38" s="208"/>
      <c r="D38" s="213" t="s">
        <v>497</v>
      </c>
      <c r="E38" s="97">
        <v>2</v>
      </c>
      <c r="F38" s="71" t="s">
        <v>75</v>
      </c>
      <c r="G38" s="72">
        <v>1</v>
      </c>
      <c r="H38" s="73"/>
      <c r="I38" s="74"/>
      <c r="J38" s="75"/>
    </row>
    <row r="39" spans="2:10" ht="16.5" customHeight="1" x14ac:dyDescent="0.25">
      <c r="B39" s="327"/>
      <c r="C39" s="299" t="s">
        <v>585</v>
      </c>
      <c r="D39" s="300" t="s">
        <v>575</v>
      </c>
      <c r="E39" s="102">
        <v>5</v>
      </c>
      <c r="F39" s="78" t="s">
        <v>75</v>
      </c>
      <c r="G39" s="79">
        <v>1</v>
      </c>
      <c r="H39" s="80" t="s">
        <v>72</v>
      </c>
      <c r="I39" s="81" t="s">
        <v>41</v>
      </c>
      <c r="J39" s="82"/>
    </row>
    <row r="40" spans="2:10" ht="16.5" customHeight="1" x14ac:dyDescent="0.25">
      <c r="B40" s="327"/>
      <c r="C40" s="209"/>
      <c r="D40" s="214" t="s">
        <v>576</v>
      </c>
      <c r="E40" s="85">
        <v>10</v>
      </c>
      <c r="F40" s="86" t="s">
        <v>75</v>
      </c>
      <c r="G40" s="87">
        <v>4</v>
      </c>
      <c r="H40" s="39" t="s">
        <v>72</v>
      </c>
      <c r="I40" s="88" t="s">
        <v>41</v>
      </c>
      <c r="J40" s="36"/>
    </row>
    <row r="41" spans="2:10" ht="16.5" customHeight="1" x14ac:dyDescent="0.25">
      <c r="B41" s="327"/>
      <c r="C41" s="209"/>
      <c r="D41" s="214" t="s">
        <v>577</v>
      </c>
      <c r="E41" s="85">
        <v>10</v>
      </c>
      <c r="F41" s="86" t="s">
        <v>75</v>
      </c>
      <c r="G41" s="87">
        <v>3</v>
      </c>
      <c r="H41" s="39" t="s">
        <v>72</v>
      </c>
      <c r="I41" s="88" t="s">
        <v>41</v>
      </c>
      <c r="J41" s="36"/>
    </row>
    <row r="42" spans="2:10" ht="16.5" customHeight="1" x14ac:dyDescent="0.25">
      <c r="B42" s="327"/>
      <c r="C42" s="298"/>
      <c r="D42" s="213" t="s">
        <v>578</v>
      </c>
      <c r="E42" s="97">
        <v>5</v>
      </c>
      <c r="F42" s="71" t="s">
        <v>75</v>
      </c>
      <c r="G42" s="72">
        <v>3</v>
      </c>
      <c r="H42" s="73" t="s">
        <v>72</v>
      </c>
      <c r="I42" s="74" t="s">
        <v>41</v>
      </c>
      <c r="J42" s="75"/>
    </row>
    <row r="43" spans="2:10" ht="16.5" customHeight="1" x14ac:dyDescent="0.25">
      <c r="B43" s="327"/>
      <c r="C43" s="294" t="s">
        <v>590</v>
      </c>
      <c r="D43" s="214" t="s">
        <v>587</v>
      </c>
      <c r="E43" s="85">
        <v>3</v>
      </c>
      <c r="F43" s="86"/>
      <c r="G43" s="87">
        <v>1</v>
      </c>
      <c r="H43" s="39"/>
      <c r="I43" s="88"/>
      <c r="J43" s="36"/>
    </row>
    <row r="44" spans="2:10" ht="16.5" customHeight="1" x14ac:dyDescent="0.25">
      <c r="B44" s="327"/>
      <c r="C44" s="209"/>
      <c r="D44" s="214" t="s">
        <v>581</v>
      </c>
      <c r="E44" s="85">
        <v>10</v>
      </c>
      <c r="F44" s="86"/>
      <c r="G44" s="87">
        <v>1</v>
      </c>
      <c r="H44" s="39" t="s">
        <v>579</v>
      </c>
      <c r="I44" s="88" t="s">
        <v>41</v>
      </c>
      <c r="J44" s="36"/>
    </row>
    <row r="45" spans="2:10" ht="16.5" customHeight="1" x14ac:dyDescent="0.25">
      <c r="B45" s="327"/>
      <c r="C45" s="209"/>
      <c r="D45" s="214" t="s">
        <v>582</v>
      </c>
      <c r="E45" s="85">
        <v>10</v>
      </c>
      <c r="F45" s="86"/>
      <c r="G45" s="87">
        <v>1</v>
      </c>
      <c r="H45" s="39" t="s">
        <v>579</v>
      </c>
      <c r="I45" s="88" t="s">
        <v>41</v>
      </c>
      <c r="J45" s="36"/>
    </row>
    <row r="46" spans="2:10" ht="16.5" customHeight="1" x14ac:dyDescent="0.25">
      <c r="B46" s="327"/>
      <c r="C46" s="209"/>
      <c r="D46" s="214" t="s">
        <v>583</v>
      </c>
      <c r="E46" s="85">
        <v>10</v>
      </c>
      <c r="F46" s="86"/>
      <c r="G46" s="87">
        <v>1</v>
      </c>
      <c r="H46" s="39" t="s">
        <v>579</v>
      </c>
      <c r="I46" s="88" t="s">
        <v>41</v>
      </c>
      <c r="J46" s="36"/>
    </row>
    <row r="47" spans="2:10" ht="16.5" customHeight="1" x14ac:dyDescent="0.25">
      <c r="B47" s="327"/>
      <c r="C47" s="208"/>
      <c r="D47" s="213" t="s">
        <v>584</v>
      </c>
      <c r="E47" s="97">
        <v>10</v>
      </c>
      <c r="F47" s="71"/>
      <c r="G47" s="72">
        <v>1</v>
      </c>
      <c r="H47" s="73" t="s">
        <v>579</v>
      </c>
      <c r="I47" s="74" t="s">
        <v>41</v>
      </c>
      <c r="J47" s="75"/>
    </row>
    <row r="48" spans="2:10" ht="16.5" customHeight="1" x14ac:dyDescent="0.25">
      <c r="B48" s="327"/>
      <c r="C48" s="209" t="s">
        <v>83</v>
      </c>
      <c r="D48" s="214" t="s">
        <v>588</v>
      </c>
      <c r="E48" s="85">
        <v>2</v>
      </c>
      <c r="F48" s="86"/>
      <c r="G48" s="87"/>
      <c r="H48" s="39"/>
      <c r="I48" s="88"/>
      <c r="J48" s="36"/>
    </row>
    <row r="49" spans="2:10" ht="16.5" customHeight="1" x14ac:dyDescent="0.25">
      <c r="B49" s="328"/>
      <c r="C49" s="211"/>
      <c r="D49" s="217" t="s">
        <v>589</v>
      </c>
      <c r="E49" s="148">
        <v>1</v>
      </c>
      <c r="F49" s="68"/>
      <c r="G49" s="66"/>
      <c r="H49" s="41"/>
      <c r="I49" s="146"/>
      <c r="J49" s="147"/>
    </row>
    <row r="50" spans="2:10" ht="14.25" customHeight="1" x14ac:dyDescent="0.25">
      <c r="B50" s="104" t="s">
        <v>126</v>
      </c>
    </row>
    <row r="51" spans="2:10" ht="14.25" customHeight="1" x14ac:dyDescent="0.25">
      <c r="B51" s="104"/>
    </row>
    <row r="52" spans="2:10" ht="14.25" customHeight="1" x14ac:dyDescent="0.25">
      <c r="B52" s="104"/>
    </row>
    <row r="53" spans="2:10" ht="14.25" customHeight="1" x14ac:dyDescent="0.25">
      <c r="B53" s="104"/>
    </row>
    <row r="54" spans="2:10" ht="14.25" customHeight="1" x14ac:dyDescent="0.25">
      <c r="B54" s="104"/>
    </row>
    <row r="55" spans="2:10" ht="14.25" customHeight="1" x14ac:dyDescent="0.25">
      <c r="B55" s="104"/>
    </row>
  </sheetData>
  <autoFilter ref="B3:J24" xr:uid="{00000000-0009-0000-0000-000001000000}"/>
  <mergeCells count="7">
    <mergeCell ref="B34:B49"/>
    <mergeCell ref="C1:E1"/>
    <mergeCell ref="F1:J1"/>
    <mergeCell ref="C2:J2"/>
    <mergeCell ref="F3:G3"/>
    <mergeCell ref="B4:B24"/>
    <mergeCell ref="B25:B33"/>
  </mergeCells>
  <phoneticPr fontId="2" type="noConversion"/>
  <printOptions horizontalCentered="1"/>
  <pageMargins left="0.11811023622047245" right="0.11811023622047245" top="0.15748031496062992" bottom="0" header="0.31496062992125984" footer="0.31496062992125984"/>
  <pageSetup paperSize="9" scale="7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6B8E-042A-451D-9369-351C072B6F2C}">
  <dimension ref="B5:F33"/>
  <sheetViews>
    <sheetView zoomScale="110" zoomScaleNormal="110" workbookViewId="0">
      <selection activeCell="B20" sqref="B20"/>
    </sheetView>
  </sheetViews>
  <sheetFormatPr defaultRowHeight="13.5" x14ac:dyDescent="0.25"/>
  <cols>
    <col min="2" max="2" width="36.42578125" customWidth="1"/>
    <col min="3" max="3" width="33.5703125" customWidth="1"/>
    <col min="4" max="4" width="56.5703125" bestFit="1" customWidth="1"/>
    <col min="6" max="6" width="13.7109375" customWidth="1"/>
  </cols>
  <sheetData>
    <row r="5" spans="2:6" x14ac:dyDescent="0.25">
      <c r="B5" t="s">
        <v>460</v>
      </c>
      <c r="C5" t="s">
        <v>463</v>
      </c>
      <c r="D5" t="s">
        <v>465</v>
      </c>
    </row>
    <row r="6" spans="2:6" x14ac:dyDescent="0.25">
      <c r="C6" t="s">
        <v>464</v>
      </c>
      <c r="D6" t="s">
        <v>466</v>
      </c>
    </row>
    <row r="7" spans="2:6" x14ac:dyDescent="0.25">
      <c r="C7" t="s">
        <v>461</v>
      </c>
    </row>
    <row r="8" spans="2:6" x14ac:dyDescent="0.25">
      <c r="C8" t="s">
        <v>462</v>
      </c>
    </row>
    <row r="14" spans="2:6" x14ac:dyDescent="0.25">
      <c r="B14" t="s">
        <v>486</v>
      </c>
    </row>
    <row r="16" spans="2:6" x14ac:dyDescent="0.25">
      <c r="E16" t="s">
        <v>23</v>
      </c>
      <c r="F16" t="s">
        <v>506</v>
      </c>
    </row>
    <row r="17" spans="2:6" x14ac:dyDescent="0.25">
      <c r="B17" t="s">
        <v>500</v>
      </c>
      <c r="C17" s="309" t="s">
        <v>502</v>
      </c>
      <c r="D17" s="310" t="s">
        <v>536</v>
      </c>
      <c r="E17" s="309" t="s">
        <v>503</v>
      </c>
      <c r="F17" s="309" t="s">
        <v>609</v>
      </c>
    </row>
    <row r="18" spans="2:6" x14ac:dyDescent="0.25">
      <c r="C18" s="309" t="s">
        <v>511</v>
      </c>
      <c r="D18" s="310" t="s">
        <v>512</v>
      </c>
      <c r="E18" s="309" t="s">
        <v>607</v>
      </c>
      <c r="F18" s="309" t="s">
        <v>608</v>
      </c>
    </row>
    <row r="19" spans="2:6" x14ac:dyDescent="0.25">
      <c r="C19" s="309" t="s">
        <v>518</v>
      </c>
      <c r="D19" s="310" t="s">
        <v>519</v>
      </c>
      <c r="E19" s="309" t="s">
        <v>532</v>
      </c>
      <c r="F19" s="309" t="s">
        <v>610</v>
      </c>
    </row>
    <row r="20" spans="2:6" x14ac:dyDescent="0.25">
      <c r="C20" s="311" t="s">
        <v>513</v>
      </c>
      <c r="D20" s="312" t="s">
        <v>514</v>
      </c>
      <c r="E20" s="311" t="s">
        <v>530</v>
      </c>
      <c r="F20" s="311" t="s">
        <v>611</v>
      </c>
    </row>
    <row r="21" spans="2:6" x14ac:dyDescent="0.25">
      <c r="D21" s="116"/>
    </row>
    <row r="22" spans="2:6" x14ac:dyDescent="0.25">
      <c r="C22" t="s">
        <v>515</v>
      </c>
      <c r="D22" s="116" t="s">
        <v>516</v>
      </c>
      <c r="E22" t="s">
        <v>517</v>
      </c>
      <c r="F22" t="s">
        <v>531</v>
      </c>
    </row>
    <row r="23" spans="2:6" x14ac:dyDescent="0.25">
      <c r="C23" t="s">
        <v>520</v>
      </c>
      <c r="D23" s="116" t="s">
        <v>521</v>
      </c>
    </row>
    <row r="24" spans="2:6" x14ac:dyDescent="0.25">
      <c r="C24" t="s">
        <v>522</v>
      </c>
      <c r="D24" s="116" t="s">
        <v>523</v>
      </c>
    </row>
    <row r="25" spans="2:6" x14ac:dyDescent="0.25">
      <c r="C25" t="s">
        <v>524</v>
      </c>
      <c r="D25" s="116" t="s">
        <v>525</v>
      </c>
      <c r="E25" t="s">
        <v>533</v>
      </c>
      <c r="F25" t="s">
        <v>534</v>
      </c>
    </row>
    <row r="26" spans="2:6" x14ac:dyDescent="0.25">
      <c r="C26" t="s">
        <v>526</v>
      </c>
      <c r="D26" s="116" t="s">
        <v>527</v>
      </c>
    </row>
    <row r="27" spans="2:6" x14ac:dyDescent="0.25">
      <c r="C27" t="s">
        <v>528</v>
      </c>
      <c r="D27" s="116" t="s">
        <v>529</v>
      </c>
      <c r="E27" t="s">
        <v>535</v>
      </c>
      <c r="F27" t="s">
        <v>534</v>
      </c>
    </row>
    <row r="29" spans="2:6" x14ac:dyDescent="0.25">
      <c r="D29" t="s">
        <v>504</v>
      </c>
      <c r="E29" t="s">
        <v>503</v>
      </c>
      <c r="F29" t="s">
        <v>505</v>
      </c>
    </row>
    <row r="31" spans="2:6" x14ac:dyDescent="0.25">
      <c r="C31" t="s">
        <v>507</v>
      </c>
    </row>
    <row r="32" spans="2:6" x14ac:dyDescent="0.25">
      <c r="D32" s="116" t="s">
        <v>537</v>
      </c>
    </row>
    <row r="33" spans="4:6" x14ac:dyDescent="0.25">
      <c r="D33" t="s">
        <v>508</v>
      </c>
      <c r="E33" t="s">
        <v>509</v>
      </c>
      <c r="F33" t="s">
        <v>510</v>
      </c>
    </row>
  </sheetData>
  <phoneticPr fontId="2" type="noConversion"/>
  <hyperlinks>
    <hyperlink ref="D20" r:id="rId1" xr:uid="{80AD258C-F4B0-49FB-9839-CAC1B07D3E97}"/>
    <hyperlink ref="D22" r:id="rId2" xr:uid="{F32E6AD2-02A3-47A6-80F0-9DDA3DA71073}"/>
    <hyperlink ref="D23" r:id="rId3" xr:uid="{CBE18CC5-EEB5-43A1-9C66-8604DFC969E0}"/>
    <hyperlink ref="D18" r:id="rId4" xr:uid="{03F3F39F-976E-4753-8342-437E3D46D610}"/>
    <hyperlink ref="D26" r:id="rId5" xr:uid="{CA49E220-C54A-4812-A2DE-8881F6ADA9CD}"/>
    <hyperlink ref="D27" r:id="rId6" xr:uid="{117DC439-8D8D-4C1C-9DB3-4355E090C368}"/>
    <hyperlink ref="D19" r:id="rId7" xr:uid="{2FEF26A5-BBCC-4E49-86BD-09CB157B86EF}"/>
    <hyperlink ref="D24" r:id="rId8" xr:uid="{E2FCAB51-B1CE-4EAA-BD62-13A138D39C4F}"/>
    <hyperlink ref="D25" r:id="rId9" xr:uid="{EFCBD76B-7459-408C-A68F-A39A544C1F6F}"/>
    <hyperlink ref="D17" r:id="rId10" xr:uid="{C0411C2E-EA9A-48DC-828A-6A9B7B92619A}"/>
    <hyperlink ref="D32" r:id="rId11" xr:uid="{B50569C7-D9D0-4A76-B9A6-E11B4AFE330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61B9-7AD9-4802-AC42-428775B53772}">
  <sheetPr>
    <pageSetUpPr fitToPage="1"/>
  </sheetPr>
  <dimension ref="B1:K42"/>
  <sheetViews>
    <sheetView showGridLines="0" zoomScaleNormal="100" workbookViewId="0">
      <pane ySplit="3" topLeftCell="A4" activePane="bottomLeft" state="frozen"/>
      <selection activeCell="B16" sqref="B16:B23"/>
      <selection pane="bottomLeft" activeCell="D22" sqref="D22"/>
    </sheetView>
  </sheetViews>
  <sheetFormatPr defaultColWidth="9.140625" defaultRowHeight="14.25" customHeight="1" x14ac:dyDescent="0.25"/>
  <cols>
    <col min="1" max="1" width="1.85546875" style="113" customWidth="1"/>
    <col min="2" max="2" width="23.7109375" style="113" customWidth="1"/>
    <col min="3" max="3" width="34.7109375" style="120" customWidth="1"/>
    <col min="4" max="4" width="65.7109375" style="120" customWidth="1"/>
    <col min="5" max="5" width="8" style="121" customWidth="1"/>
    <col min="6" max="6" width="10.7109375" style="122" customWidth="1"/>
    <col min="7" max="7" width="4.7109375" style="122" customWidth="1"/>
    <col min="8" max="8" width="12.42578125" style="122" customWidth="1"/>
    <col min="9" max="9" width="11.7109375" style="122" hidden="1" customWidth="1"/>
    <col min="10" max="10" width="21.42578125" style="122" customWidth="1"/>
    <col min="11" max="16384" width="9.140625" style="113"/>
  </cols>
  <sheetData>
    <row r="1" spans="2:10" ht="21" customHeight="1" x14ac:dyDescent="0.25">
      <c r="B1" s="26" t="s">
        <v>68</v>
      </c>
      <c r="C1" s="329" t="s">
        <v>338</v>
      </c>
      <c r="D1" s="330"/>
      <c r="E1" s="331"/>
      <c r="F1" s="332" t="s">
        <v>467</v>
      </c>
      <c r="G1" s="332"/>
      <c r="H1" s="332"/>
      <c r="I1" s="332"/>
      <c r="J1" s="333"/>
    </row>
    <row r="2" spans="2:10" ht="21" customHeight="1" x14ac:dyDescent="0.25">
      <c r="B2" s="26" t="s">
        <v>33</v>
      </c>
      <c r="C2" s="334" t="s">
        <v>182</v>
      </c>
      <c r="D2" s="335"/>
      <c r="E2" s="335"/>
      <c r="F2" s="335"/>
      <c r="G2" s="335"/>
      <c r="H2" s="335"/>
      <c r="I2" s="335"/>
      <c r="J2" s="336"/>
    </row>
    <row r="3" spans="2:10" s="114" customFormat="1" ht="21" customHeight="1" x14ac:dyDescent="0.25">
      <c r="B3" s="27" t="s">
        <v>34</v>
      </c>
      <c r="C3" s="27" t="s">
        <v>35</v>
      </c>
      <c r="D3" s="26" t="s">
        <v>36</v>
      </c>
      <c r="E3" s="28" t="s">
        <v>85</v>
      </c>
      <c r="F3" s="337" t="s">
        <v>86</v>
      </c>
      <c r="G3" s="338"/>
      <c r="H3" s="29" t="s">
        <v>37</v>
      </c>
      <c r="I3" s="28" t="s">
        <v>76</v>
      </c>
      <c r="J3" s="28" t="s">
        <v>38</v>
      </c>
    </row>
    <row r="4" spans="2:10" ht="16.5" customHeight="1" x14ac:dyDescent="0.25">
      <c r="B4" s="326" t="s">
        <v>359</v>
      </c>
      <c r="C4" s="207" t="s">
        <v>186</v>
      </c>
      <c r="D4" s="212" t="s">
        <v>340</v>
      </c>
      <c r="E4" s="91">
        <v>5</v>
      </c>
      <c r="F4" s="92" t="s">
        <v>339</v>
      </c>
      <c r="G4" s="93"/>
      <c r="H4" s="38" t="s">
        <v>363</v>
      </c>
      <c r="I4" s="94"/>
      <c r="J4" s="42"/>
    </row>
    <row r="5" spans="2:10" ht="16.5" customHeight="1" x14ac:dyDescent="0.25">
      <c r="B5" s="327"/>
      <c r="C5" s="208"/>
      <c r="D5" s="213" t="s">
        <v>385</v>
      </c>
      <c r="E5" s="97"/>
      <c r="F5" s="71"/>
      <c r="G5" s="72"/>
      <c r="H5" s="73"/>
      <c r="I5" s="74"/>
      <c r="J5" s="75"/>
    </row>
    <row r="6" spans="2:10" ht="16.5" customHeight="1" x14ac:dyDescent="0.25">
      <c r="B6" s="327"/>
      <c r="C6" s="209" t="s">
        <v>187</v>
      </c>
      <c r="D6" s="214" t="s">
        <v>342</v>
      </c>
      <c r="E6" s="85">
        <v>15</v>
      </c>
      <c r="F6" s="86" t="s">
        <v>351</v>
      </c>
      <c r="G6" s="87"/>
      <c r="H6" s="39" t="s">
        <v>343</v>
      </c>
      <c r="I6" s="88"/>
      <c r="J6" s="36" t="s">
        <v>344</v>
      </c>
    </row>
    <row r="7" spans="2:10" ht="16.5" customHeight="1" x14ac:dyDescent="0.25">
      <c r="B7" s="327"/>
      <c r="C7" s="208"/>
      <c r="D7" s="213" t="s">
        <v>341</v>
      </c>
      <c r="E7" s="97"/>
      <c r="F7" s="71"/>
      <c r="G7" s="72"/>
      <c r="H7" s="73"/>
      <c r="I7" s="74"/>
      <c r="J7" s="75"/>
    </row>
    <row r="8" spans="2:10" ht="16.5" customHeight="1" x14ac:dyDescent="0.25">
      <c r="B8" s="327"/>
      <c r="C8" s="209" t="s">
        <v>386</v>
      </c>
      <c r="D8" s="214" t="s">
        <v>384</v>
      </c>
      <c r="E8" s="85">
        <v>10</v>
      </c>
      <c r="F8" s="86" t="s">
        <v>350</v>
      </c>
      <c r="G8" s="87"/>
      <c r="H8" s="39" t="s">
        <v>343</v>
      </c>
      <c r="I8" s="88"/>
      <c r="J8" s="36" t="s">
        <v>344</v>
      </c>
    </row>
    <row r="9" spans="2:10" ht="16.5" customHeight="1" x14ac:dyDescent="0.25">
      <c r="B9" s="327"/>
      <c r="C9" s="208"/>
      <c r="D9" s="213" t="s">
        <v>387</v>
      </c>
      <c r="E9" s="97"/>
      <c r="F9" s="71"/>
      <c r="G9" s="72"/>
      <c r="H9" s="73"/>
      <c r="I9" s="74"/>
      <c r="J9" s="75"/>
    </row>
    <row r="10" spans="2:10" ht="16.5" customHeight="1" x14ac:dyDescent="0.25">
      <c r="B10" s="327"/>
      <c r="C10" s="209" t="s">
        <v>388</v>
      </c>
      <c r="D10" s="214" t="s">
        <v>346</v>
      </c>
      <c r="E10" s="85">
        <v>5</v>
      </c>
      <c r="F10" s="86" t="s">
        <v>350</v>
      </c>
      <c r="G10" s="87"/>
      <c r="H10" s="39" t="s">
        <v>72</v>
      </c>
      <c r="I10" s="88"/>
      <c r="J10" s="36"/>
    </row>
    <row r="11" spans="2:10" ht="16.5" customHeight="1" x14ac:dyDescent="0.25">
      <c r="B11" s="327"/>
      <c r="C11" s="208"/>
      <c r="D11" s="213" t="s">
        <v>347</v>
      </c>
      <c r="E11" s="97"/>
      <c r="F11" s="71"/>
      <c r="G11" s="72"/>
      <c r="H11" s="73"/>
      <c r="I11" s="74"/>
      <c r="J11" s="75"/>
    </row>
    <row r="12" spans="2:10" ht="16.5" customHeight="1" x14ac:dyDescent="0.25">
      <c r="B12" s="327"/>
      <c r="C12" s="209" t="s">
        <v>389</v>
      </c>
      <c r="D12" s="214" t="s">
        <v>345</v>
      </c>
      <c r="E12" s="85">
        <v>5</v>
      </c>
      <c r="F12" s="86" t="s">
        <v>350</v>
      </c>
      <c r="G12" s="87"/>
      <c r="H12" s="39" t="s">
        <v>72</v>
      </c>
      <c r="I12" s="88"/>
      <c r="J12" s="36"/>
    </row>
    <row r="13" spans="2:10" ht="16.5" customHeight="1" x14ac:dyDescent="0.25">
      <c r="B13" s="327"/>
      <c r="C13" s="209"/>
      <c r="D13" s="214" t="s">
        <v>348</v>
      </c>
      <c r="E13" s="85"/>
      <c r="F13" s="86"/>
      <c r="G13" s="87"/>
      <c r="H13" s="39"/>
      <c r="I13" s="88"/>
      <c r="J13" s="36"/>
    </row>
    <row r="14" spans="2:10" ht="16.5" customHeight="1" x14ac:dyDescent="0.25">
      <c r="B14" s="327"/>
      <c r="C14" s="209"/>
      <c r="D14" s="214" t="s">
        <v>188</v>
      </c>
      <c r="E14" s="85"/>
      <c r="F14" s="86"/>
      <c r="G14" s="87"/>
      <c r="H14" s="39"/>
      <c r="I14" s="88"/>
      <c r="J14" s="36"/>
    </row>
    <row r="15" spans="2:10" ht="16.5" customHeight="1" x14ac:dyDescent="0.25">
      <c r="B15" s="327"/>
      <c r="C15" s="208"/>
      <c r="D15" s="213" t="s">
        <v>349</v>
      </c>
      <c r="E15" s="97"/>
      <c r="F15" s="71"/>
      <c r="G15" s="72"/>
      <c r="H15" s="73"/>
      <c r="I15" s="74"/>
      <c r="J15" s="75"/>
    </row>
    <row r="16" spans="2:10" ht="16.5" customHeight="1" x14ac:dyDescent="0.25">
      <c r="B16" s="327"/>
      <c r="C16" s="209" t="s">
        <v>390</v>
      </c>
      <c r="D16" s="214" t="s">
        <v>358</v>
      </c>
      <c r="E16" s="85">
        <v>10</v>
      </c>
      <c r="F16" s="86" t="s">
        <v>350</v>
      </c>
      <c r="G16" s="87"/>
      <c r="H16" s="39" t="s">
        <v>355</v>
      </c>
      <c r="I16" s="88"/>
      <c r="J16" s="36"/>
    </row>
    <row r="17" spans="2:11" ht="16.5" customHeight="1" x14ac:dyDescent="0.25">
      <c r="B17" s="327"/>
      <c r="C17" s="209"/>
      <c r="D17" s="214" t="s">
        <v>356</v>
      </c>
      <c r="E17" s="85"/>
      <c r="F17" s="86"/>
      <c r="G17" s="87"/>
      <c r="H17" s="39"/>
      <c r="I17" s="88"/>
      <c r="J17" s="36"/>
    </row>
    <row r="18" spans="2:11" ht="16.5" customHeight="1" x14ac:dyDescent="0.25">
      <c r="B18" s="327"/>
      <c r="C18" s="208"/>
      <c r="D18" s="213" t="s">
        <v>357</v>
      </c>
      <c r="E18" s="97"/>
      <c r="F18" s="71"/>
      <c r="G18" s="72"/>
      <c r="H18" s="73"/>
      <c r="I18" s="74"/>
      <c r="J18" s="75"/>
    </row>
    <row r="19" spans="2:11" ht="16.5" customHeight="1" x14ac:dyDescent="0.25">
      <c r="B19" s="326" t="s">
        <v>382</v>
      </c>
      <c r="C19" s="210" t="s">
        <v>192</v>
      </c>
      <c r="D19" s="215" t="s">
        <v>361</v>
      </c>
      <c r="E19" s="100">
        <v>5</v>
      </c>
      <c r="F19" s="67" t="s">
        <v>350</v>
      </c>
      <c r="G19" s="65"/>
      <c r="H19" s="63" t="s">
        <v>72</v>
      </c>
      <c r="I19" s="69"/>
      <c r="J19" s="64"/>
    </row>
    <row r="20" spans="2:11" ht="16.5" customHeight="1" x14ac:dyDescent="0.25">
      <c r="B20" s="327"/>
      <c r="C20" s="209" t="s">
        <v>189</v>
      </c>
      <c r="D20" s="214" t="s">
        <v>191</v>
      </c>
      <c r="E20" s="85">
        <v>15</v>
      </c>
      <c r="F20" s="86" t="s">
        <v>350</v>
      </c>
      <c r="G20" s="87"/>
      <c r="H20" s="39" t="s">
        <v>72</v>
      </c>
      <c r="I20" s="88"/>
      <c r="J20" s="36"/>
    </row>
    <row r="21" spans="2:11" ht="16.5" customHeight="1" x14ac:dyDescent="0.25">
      <c r="B21" s="327"/>
      <c r="C21" s="209"/>
      <c r="D21" s="214" t="s">
        <v>365</v>
      </c>
      <c r="E21" s="85"/>
      <c r="F21" s="86"/>
      <c r="G21" s="87"/>
      <c r="H21" s="39"/>
      <c r="I21" s="88"/>
      <c r="J21" s="36"/>
    </row>
    <row r="22" spans="2:11" ht="16.5" customHeight="1" x14ac:dyDescent="0.25">
      <c r="B22" s="327"/>
      <c r="C22" s="208"/>
      <c r="D22" s="213" t="s">
        <v>366</v>
      </c>
      <c r="E22" s="97"/>
      <c r="F22" s="71"/>
      <c r="G22" s="72"/>
      <c r="H22" s="73"/>
      <c r="I22" s="74"/>
      <c r="J22" s="75"/>
    </row>
    <row r="23" spans="2:11" ht="16.5" customHeight="1" x14ac:dyDescent="0.25">
      <c r="B23" s="327"/>
      <c r="C23" s="209" t="s">
        <v>190</v>
      </c>
      <c r="D23" s="214" t="s">
        <v>360</v>
      </c>
      <c r="E23" s="85">
        <v>10</v>
      </c>
      <c r="F23" s="86" t="s">
        <v>350</v>
      </c>
      <c r="G23" s="87"/>
      <c r="H23" s="39" t="s">
        <v>72</v>
      </c>
      <c r="I23" s="88"/>
      <c r="J23" s="36"/>
    </row>
    <row r="24" spans="2:11" ht="16.5" customHeight="1" x14ac:dyDescent="0.25">
      <c r="B24" s="327"/>
      <c r="C24" s="208"/>
      <c r="D24" s="216" t="s">
        <v>367</v>
      </c>
      <c r="E24" s="97"/>
      <c r="F24" s="71"/>
      <c r="G24" s="72"/>
      <c r="H24" s="73"/>
      <c r="I24" s="74"/>
      <c r="J24" s="75"/>
    </row>
    <row r="25" spans="2:11" ht="16.5" customHeight="1" x14ac:dyDescent="0.25">
      <c r="B25" s="327"/>
      <c r="C25" s="209" t="s">
        <v>368</v>
      </c>
      <c r="D25" s="214" t="s">
        <v>353</v>
      </c>
      <c r="E25" s="85">
        <v>15</v>
      </c>
      <c r="F25" s="86" t="s">
        <v>350</v>
      </c>
      <c r="G25" s="87"/>
      <c r="H25" s="39" t="s">
        <v>72</v>
      </c>
      <c r="I25" s="88"/>
      <c r="J25" s="36"/>
    </row>
    <row r="26" spans="2:11" ht="16.5" customHeight="1" x14ac:dyDescent="0.25">
      <c r="B26" s="327"/>
      <c r="C26" s="209"/>
      <c r="D26" s="214" t="s">
        <v>352</v>
      </c>
      <c r="E26" s="85"/>
      <c r="F26" s="86"/>
      <c r="G26" s="87"/>
      <c r="H26" s="39"/>
      <c r="I26" s="88"/>
      <c r="J26" s="36"/>
    </row>
    <row r="27" spans="2:11" ht="16.5" customHeight="1" x14ac:dyDescent="0.25">
      <c r="B27" s="327"/>
      <c r="C27" s="209"/>
      <c r="D27" s="214" t="s">
        <v>354</v>
      </c>
      <c r="E27" s="85"/>
      <c r="F27" s="86"/>
      <c r="G27" s="87"/>
      <c r="H27" s="39"/>
      <c r="I27" s="88"/>
      <c r="J27" s="36"/>
    </row>
    <row r="28" spans="2:11" ht="16.5" customHeight="1" x14ac:dyDescent="0.25">
      <c r="B28" s="327"/>
      <c r="C28" s="208"/>
      <c r="D28" s="213" t="s">
        <v>364</v>
      </c>
      <c r="E28" s="97"/>
      <c r="F28" s="71"/>
      <c r="G28" s="72"/>
      <c r="H28" s="73"/>
      <c r="I28" s="74"/>
      <c r="J28" s="75"/>
    </row>
    <row r="29" spans="2:11" ht="16.5" customHeight="1" x14ac:dyDescent="0.25">
      <c r="B29" s="328"/>
      <c r="C29" s="211" t="s">
        <v>83</v>
      </c>
      <c r="D29" s="217" t="s">
        <v>369</v>
      </c>
      <c r="E29" s="148">
        <v>5</v>
      </c>
      <c r="F29" s="68" t="s">
        <v>339</v>
      </c>
      <c r="G29" s="66"/>
      <c r="H29" s="41" t="s">
        <v>363</v>
      </c>
      <c r="I29" s="146"/>
      <c r="J29" s="147"/>
    </row>
    <row r="30" spans="2:11" ht="16.5" customHeight="1" x14ac:dyDescent="0.25">
      <c r="B30" s="326" t="s">
        <v>383</v>
      </c>
      <c r="C30" s="210" t="s">
        <v>374</v>
      </c>
      <c r="D30" s="215" t="s">
        <v>375</v>
      </c>
      <c r="E30" s="100">
        <v>5</v>
      </c>
      <c r="F30" s="67" t="s">
        <v>350</v>
      </c>
      <c r="G30" s="65"/>
      <c r="H30" s="63" t="s">
        <v>72</v>
      </c>
      <c r="I30" s="69"/>
      <c r="J30" s="64" t="s">
        <v>372</v>
      </c>
      <c r="K30" s="113" t="s">
        <v>185</v>
      </c>
    </row>
    <row r="31" spans="2:11" ht="16.5" customHeight="1" x14ac:dyDescent="0.25">
      <c r="B31" s="327"/>
      <c r="C31" s="209" t="s">
        <v>379</v>
      </c>
      <c r="D31" s="214" t="s">
        <v>376</v>
      </c>
      <c r="E31" s="85">
        <v>90</v>
      </c>
      <c r="F31" s="86" t="s">
        <v>370</v>
      </c>
      <c r="G31" s="87"/>
      <c r="H31" s="39" t="s">
        <v>123</v>
      </c>
      <c r="I31" s="88"/>
      <c r="J31" s="36"/>
    </row>
    <row r="32" spans="2:11" ht="16.5" customHeight="1" x14ac:dyDescent="0.25">
      <c r="B32" s="327"/>
      <c r="C32" s="209"/>
      <c r="D32" s="214" t="s">
        <v>377</v>
      </c>
      <c r="E32" s="85"/>
      <c r="F32" s="86"/>
      <c r="G32" s="87"/>
      <c r="H32" s="39"/>
      <c r="I32" s="88"/>
      <c r="J32" s="36"/>
    </row>
    <row r="33" spans="2:10" ht="16.5" customHeight="1" x14ac:dyDescent="0.25">
      <c r="B33" s="327"/>
      <c r="C33" s="209"/>
      <c r="D33" s="214" t="s">
        <v>378</v>
      </c>
      <c r="E33" s="85"/>
      <c r="F33" s="86"/>
      <c r="G33" s="87"/>
      <c r="H33" s="39"/>
      <c r="I33" s="88"/>
      <c r="J33" s="36"/>
    </row>
    <row r="34" spans="2:10" ht="16.5" customHeight="1" x14ac:dyDescent="0.25">
      <c r="B34" s="327"/>
      <c r="C34" s="208"/>
      <c r="D34" s="213" t="s">
        <v>380</v>
      </c>
      <c r="E34" s="97"/>
      <c r="F34" s="71"/>
      <c r="G34" s="72"/>
      <c r="H34" s="73"/>
      <c r="I34" s="74"/>
      <c r="J34" s="75"/>
    </row>
    <row r="35" spans="2:10" ht="16.5" customHeight="1" x14ac:dyDescent="0.25">
      <c r="B35" s="327"/>
      <c r="C35" s="209" t="s">
        <v>362</v>
      </c>
      <c r="D35" s="214" t="s">
        <v>381</v>
      </c>
      <c r="E35" s="85">
        <v>2</v>
      </c>
      <c r="F35" s="86" t="s">
        <v>350</v>
      </c>
      <c r="G35" s="87"/>
      <c r="H35" s="39" t="s">
        <v>73</v>
      </c>
      <c r="I35" s="88"/>
      <c r="J35" s="36"/>
    </row>
    <row r="36" spans="2:10" ht="16.5" customHeight="1" x14ac:dyDescent="0.25">
      <c r="B36" s="328"/>
      <c r="C36" s="211"/>
      <c r="D36" s="217" t="s">
        <v>371</v>
      </c>
      <c r="E36" s="148">
        <v>3</v>
      </c>
      <c r="F36" s="68" t="s">
        <v>339</v>
      </c>
      <c r="G36" s="66"/>
      <c r="H36" s="41" t="s">
        <v>363</v>
      </c>
      <c r="I36" s="146"/>
      <c r="J36" s="147" t="s">
        <v>373</v>
      </c>
    </row>
    <row r="37" spans="2:10" ht="14.25" customHeight="1" x14ac:dyDescent="0.25">
      <c r="B37" s="104" t="s">
        <v>126</v>
      </c>
    </row>
    <row r="38" spans="2:10" ht="14.25" customHeight="1" x14ac:dyDescent="0.25">
      <c r="B38" s="104"/>
    </row>
    <row r="39" spans="2:10" ht="14.25" customHeight="1" x14ac:dyDescent="0.25">
      <c r="B39" s="104"/>
    </row>
    <row r="40" spans="2:10" ht="14.25" customHeight="1" x14ac:dyDescent="0.25">
      <c r="B40" s="104"/>
    </row>
    <row r="41" spans="2:10" ht="14.25" customHeight="1" x14ac:dyDescent="0.25">
      <c r="B41" s="104"/>
    </row>
    <row r="42" spans="2:10" ht="14.25" customHeight="1" x14ac:dyDescent="0.25">
      <c r="B42" s="104"/>
    </row>
  </sheetData>
  <autoFilter ref="B3:J18" xr:uid="{00000000-0009-0000-0000-000001000000}"/>
  <mergeCells count="7">
    <mergeCell ref="C1:E1"/>
    <mergeCell ref="F1:J1"/>
    <mergeCell ref="B19:B29"/>
    <mergeCell ref="B30:B36"/>
    <mergeCell ref="C2:J2"/>
    <mergeCell ref="F3:G3"/>
    <mergeCell ref="B4:B18"/>
  </mergeCells>
  <phoneticPr fontId="2" type="noConversion"/>
  <printOptions horizontalCentered="1"/>
  <pageMargins left="0.11811023622047245" right="0.11811023622047245" top="0.15748031496062992" bottom="0" header="0.31496062992125984" footer="0.31496062992125984"/>
  <pageSetup paperSize="9" scale="77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F4C6-0F41-4E17-B9C2-D4D1D9748E2D}">
  <sheetPr>
    <pageSetUpPr fitToPage="1"/>
  </sheetPr>
  <dimension ref="B1:L45"/>
  <sheetViews>
    <sheetView showGridLines="0" zoomScaleNormal="100" workbookViewId="0">
      <pane ySplit="3" topLeftCell="A12" activePane="bottomLeft" state="frozen"/>
      <selection activeCell="B16" sqref="B16:B23"/>
      <selection pane="bottomLeft" activeCell="B4" sqref="B4:B19"/>
    </sheetView>
  </sheetViews>
  <sheetFormatPr defaultColWidth="9.140625" defaultRowHeight="14.25" customHeight="1" x14ac:dyDescent="0.25"/>
  <cols>
    <col min="1" max="1" width="1.85546875" style="113" customWidth="1"/>
    <col min="2" max="2" width="23.7109375" style="113" customWidth="1"/>
    <col min="3" max="3" width="34.7109375" style="120" customWidth="1"/>
    <col min="4" max="4" width="65.7109375" style="120" customWidth="1"/>
    <col min="5" max="5" width="8" style="121" customWidth="1"/>
    <col min="6" max="6" width="10.7109375" style="122" customWidth="1"/>
    <col min="7" max="7" width="4.7109375" style="122" customWidth="1"/>
    <col min="8" max="8" width="12.42578125" style="122" customWidth="1"/>
    <col min="9" max="9" width="11.7109375" style="122" customWidth="1"/>
    <col min="10" max="10" width="21.42578125" style="122" customWidth="1"/>
    <col min="11" max="16384" width="9.140625" style="113"/>
  </cols>
  <sheetData>
    <row r="1" spans="2:12" ht="21" customHeight="1" x14ac:dyDescent="0.25">
      <c r="B1" s="26" t="s">
        <v>68</v>
      </c>
      <c r="C1" s="329" t="s">
        <v>184</v>
      </c>
      <c r="D1" s="339"/>
      <c r="E1" s="339"/>
      <c r="F1" s="339"/>
      <c r="G1" s="339"/>
      <c r="H1" s="339"/>
      <c r="I1" s="339"/>
      <c r="J1" s="340"/>
    </row>
    <row r="2" spans="2:12" ht="21" customHeight="1" x14ac:dyDescent="0.25">
      <c r="B2" s="26" t="s">
        <v>33</v>
      </c>
      <c r="C2" s="334" t="s">
        <v>182</v>
      </c>
      <c r="D2" s="335"/>
      <c r="E2" s="335"/>
      <c r="F2" s="335"/>
      <c r="G2" s="335"/>
      <c r="H2" s="335"/>
      <c r="I2" s="335"/>
      <c r="J2" s="336"/>
    </row>
    <row r="3" spans="2:12" s="114" customFormat="1" ht="21" customHeight="1" x14ac:dyDescent="0.25">
      <c r="B3" s="27" t="s">
        <v>34</v>
      </c>
      <c r="C3" s="27" t="s">
        <v>35</v>
      </c>
      <c r="D3" s="26" t="s">
        <v>36</v>
      </c>
      <c r="E3" s="28" t="s">
        <v>85</v>
      </c>
      <c r="F3" s="337" t="s">
        <v>86</v>
      </c>
      <c r="G3" s="338"/>
      <c r="H3" s="29" t="s">
        <v>37</v>
      </c>
      <c r="I3" s="28" t="s">
        <v>76</v>
      </c>
      <c r="J3" s="28" t="s">
        <v>38</v>
      </c>
    </row>
    <row r="4" spans="2:12" ht="16.5" customHeight="1" x14ac:dyDescent="0.25">
      <c r="B4" s="326" t="s">
        <v>183</v>
      </c>
      <c r="C4" s="57" t="s">
        <v>127</v>
      </c>
      <c r="D4" s="30" t="s">
        <v>146</v>
      </c>
      <c r="E4" s="59">
        <v>5</v>
      </c>
      <c r="F4" s="67" t="s">
        <v>75</v>
      </c>
      <c r="G4" s="65">
        <v>3</v>
      </c>
      <c r="H4" s="63" t="s">
        <v>73</v>
      </c>
      <c r="I4" s="69" t="s">
        <v>84</v>
      </c>
      <c r="J4" s="64"/>
    </row>
    <row r="5" spans="2:12" ht="16.5" customHeight="1" x14ac:dyDescent="0.25">
      <c r="B5" s="327"/>
      <c r="C5" s="105" t="s">
        <v>128</v>
      </c>
      <c r="D5" s="106" t="s">
        <v>170</v>
      </c>
      <c r="E5" s="107">
        <v>20</v>
      </c>
      <c r="F5" s="108" t="s">
        <v>75</v>
      </c>
      <c r="G5" s="109">
        <v>12</v>
      </c>
      <c r="H5" s="110" t="s">
        <v>73</v>
      </c>
      <c r="I5" s="111" t="s">
        <v>84</v>
      </c>
      <c r="J5" s="112" t="s">
        <v>133</v>
      </c>
      <c r="L5" s="126" t="s">
        <v>161</v>
      </c>
    </row>
    <row r="6" spans="2:12" ht="16.5" customHeight="1" x14ac:dyDescent="0.25">
      <c r="B6" s="327"/>
      <c r="C6" s="115" t="s">
        <v>134</v>
      </c>
      <c r="D6" s="101" t="s">
        <v>135</v>
      </c>
      <c r="E6" s="102">
        <v>3</v>
      </c>
      <c r="F6" s="78" t="s">
        <v>75</v>
      </c>
      <c r="G6" s="79">
        <v>3</v>
      </c>
      <c r="H6" s="80" t="s">
        <v>73</v>
      </c>
      <c r="I6" s="81" t="s">
        <v>84</v>
      </c>
      <c r="J6" s="82"/>
    </row>
    <row r="7" spans="2:12" ht="16.5" customHeight="1" x14ac:dyDescent="0.25">
      <c r="B7" s="327"/>
      <c r="C7" s="83"/>
      <c r="D7" s="84" t="s">
        <v>138</v>
      </c>
      <c r="E7" s="85">
        <v>6</v>
      </c>
      <c r="F7" s="86" t="s">
        <v>75</v>
      </c>
      <c r="G7" s="87">
        <v>4</v>
      </c>
      <c r="H7" s="39" t="s">
        <v>73</v>
      </c>
      <c r="I7" s="88" t="s">
        <v>84</v>
      </c>
      <c r="J7" s="36"/>
    </row>
    <row r="8" spans="2:12" ht="16.5" customHeight="1" x14ac:dyDescent="0.25">
      <c r="B8" s="327"/>
      <c r="C8" s="83"/>
      <c r="D8" s="84" t="s">
        <v>136</v>
      </c>
      <c r="E8" s="85">
        <v>3</v>
      </c>
      <c r="F8" s="86" t="s">
        <v>75</v>
      </c>
      <c r="G8" s="87">
        <v>2</v>
      </c>
      <c r="H8" s="39" t="s">
        <v>73</v>
      </c>
      <c r="I8" s="88" t="s">
        <v>84</v>
      </c>
      <c r="J8" s="36"/>
    </row>
    <row r="9" spans="2:12" ht="16.5" customHeight="1" x14ac:dyDescent="0.25">
      <c r="B9" s="327"/>
      <c r="C9" s="83"/>
      <c r="D9" s="84" t="s">
        <v>137</v>
      </c>
      <c r="E9" s="85">
        <v>5</v>
      </c>
      <c r="F9" s="86" t="s">
        <v>75</v>
      </c>
      <c r="G9" s="87">
        <v>1</v>
      </c>
      <c r="H9" s="39" t="s">
        <v>73</v>
      </c>
      <c r="I9" s="88" t="s">
        <v>84</v>
      </c>
      <c r="J9" s="36"/>
    </row>
    <row r="10" spans="2:12" ht="16.5" customHeight="1" x14ac:dyDescent="0.25">
      <c r="B10" s="327"/>
      <c r="C10" s="83"/>
      <c r="D10" s="84" t="s">
        <v>139</v>
      </c>
      <c r="E10" s="85">
        <v>4</v>
      </c>
      <c r="F10" s="86" t="s">
        <v>75</v>
      </c>
      <c r="G10" s="87">
        <v>2</v>
      </c>
      <c r="H10" s="39" t="s">
        <v>73</v>
      </c>
      <c r="I10" s="88" t="s">
        <v>84</v>
      </c>
      <c r="J10" s="36"/>
    </row>
    <row r="11" spans="2:12" ht="16.5" customHeight="1" x14ac:dyDescent="0.25">
      <c r="B11" s="327"/>
      <c r="C11" s="83"/>
      <c r="D11" s="84" t="s">
        <v>177</v>
      </c>
      <c r="E11" s="85">
        <v>3</v>
      </c>
      <c r="F11" s="86" t="s">
        <v>74</v>
      </c>
      <c r="G11" s="87">
        <v>2</v>
      </c>
      <c r="H11" s="39" t="s">
        <v>72</v>
      </c>
      <c r="I11" s="88" t="s">
        <v>41</v>
      </c>
      <c r="J11" s="36"/>
    </row>
    <row r="12" spans="2:12" ht="16.5" customHeight="1" x14ac:dyDescent="0.25">
      <c r="B12" s="327"/>
      <c r="C12" s="95"/>
      <c r="D12" s="96" t="s">
        <v>178</v>
      </c>
      <c r="E12" s="97">
        <v>1</v>
      </c>
      <c r="F12" s="71" t="s">
        <v>75</v>
      </c>
      <c r="G12" s="72">
        <v>1</v>
      </c>
      <c r="H12" s="73" t="s">
        <v>73</v>
      </c>
      <c r="I12" s="74" t="s">
        <v>84</v>
      </c>
      <c r="J12" s="75"/>
    </row>
    <row r="13" spans="2:12" ht="16.5" customHeight="1" x14ac:dyDescent="0.25">
      <c r="B13" s="327"/>
      <c r="C13" s="115" t="s">
        <v>70</v>
      </c>
      <c r="D13" s="101" t="s">
        <v>141</v>
      </c>
      <c r="E13" s="123">
        <v>2</v>
      </c>
      <c r="F13" s="78" t="s">
        <v>75</v>
      </c>
      <c r="G13" s="79">
        <v>1</v>
      </c>
      <c r="H13" s="80" t="s">
        <v>73</v>
      </c>
      <c r="I13" s="124" t="s">
        <v>84</v>
      </c>
      <c r="J13" s="125"/>
    </row>
    <row r="14" spans="2:12" ht="16.5" customHeight="1" x14ac:dyDescent="0.25">
      <c r="B14" s="327"/>
      <c r="C14" s="83"/>
      <c r="D14" s="84" t="s">
        <v>142</v>
      </c>
      <c r="E14" s="128">
        <v>3</v>
      </c>
      <c r="F14" s="86" t="s">
        <v>140</v>
      </c>
      <c r="G14" s="87">
        <v>2</v>
      </c>
      <c r="H14" s="39" t="s">
        <v>172</v>
      </c>
      <c r="I14" s="129" t="s">
        <v>84</v>
      </c>
      <c r="J14" s="130"/>
    </row>
    <row r="15" spans="2:12" ht="16.5" customHeight="1" x14ac:dyDescent="0.25">
      <c r="B15" s="327"/>
      <c r="C15" s="83"/>
      <c r="D15" s="84" t="s">
        <v>144</v>
      </c>
      <c r="E15" s="85">
        <v>8</v>
      </c>
      <c r="F15" s="86" t="s">
        <v>75</v>
      </c>
      <c r="G15" s="87">
        <v>5</v>
      </c>
      <c r="H15" s="39" t="s">
        <v>73</v>
      </c>
      <c r="I15" s="88" t="s">
        <v>84</v>
      </c>
      <c r="J15" s="36"/>
    </row>
    <row r="16" spans="2:12" ht="16.5" customHeight="1" x14ac:dyDescent="0.25">
      <c r="B16" s="327"/>
      <c r="C16" s="83"/>
      <c r="D16" s="84" t="s">
        <v>143</v>
      </c>
      <c r="E16" s="85">
        <v>2</v>
      </c>
      <c r="F16" s="86" t="s">
        <v>75</v>
      </c>
      <c r="G16" s="87">
        <v>2</v>
      </c>
      <c r="H16" s="39" t="s">
        <v>73</v>
      </c>
      <c r="I16" s="88" t="s">
        <v>84</v>
      </c>
      <c r="J16" s="36"/>
    </row>
    <row r="17" spans="2:10" ht="16.5" customHeight="1" x14ac:dyDescent="0.25">
      <c r="B17" s="327"/>
      <c r="C17" s="83"/>
      <c r="D17" s="84" t="s">
        <v>145</v>
      </c>
      <c r="E17" s="85">
        <v>2</v>
      </c>
      <c r="F17" s="86" t="s">
        <v>75</v>
      </c>
      <c r="G17" s="87">
        <v>1</v>
      </c>
      <c r="H17" s="39" t="s">
        <v>73</v>
      </c>
      <c r="I17" s="88" t="s">
        <v>84</v>
      </c>
      <c r="J17" s="36"/>
    </row>
    <row r="18" spans="2:10" ht="16.5" customHeight="1" x14ac:dyDescent="0.25">
      <c r="B18" s="327"/>
      <c r="C18" s="83"/>
      <c r="D18" s="84" t="s">
        <v>148</v>
      </c>
      <c r="E18" s="85">
        <v>2</v>
      </c>
      <c r="F18" s="71" t="s">
        <v>74</v>
      </c>
      <c r="G18" s="72">
        <v>1</v>
      </c>
      <c r="H18" s="73" t="s">
        <v>72</v>
      </c>
      <c r="I18" s="74" t="s">
        <v>84</v>
      </c>
      <c r="J18" s="75"/>
    </row>
    <row r="19" spans="2:10" ht="16.5" customHeight="1" x14ac:dyDescent="0.25">
      <c r="B19" s="328"/>
      <c r="C19" s="103"/>
      <c r="D19" s="119" t="s">
        <v>171</v>
      </c>
      <c r="E19" s="131">
        <v>6</v>
      </c>
      <c r="F19" s="132" t="s">
        <v>75</v>
      </c>
      <c r="G19" s="133">
        <v>11</v>
      </c>
      <c r="H19" s="134" t="s">
        <v>73</v>
      </c>
      <c r="I19" s="135" t="s">
        <v>84</v>
      </c>
      <c r="J19" s="136" t="s">
        <v>153</v>
      </c>
    </row>
    <row r="20" spans="2:10" ht="16.5" customHeight="1" x14ac:dyDescent="0.25">
      <c r="B20" s="327" t="s">
        <v>152</v>
      </c>
      <c r="C20" s="137" t="s">
        <v>128</v>
      </c>
      <c r="D20" s="138" t="s">
        <v>173</v>
      </c>
      <c r="E20" s="139">
        <v>10</v>
      </c>
      <c r="F20" s="140" t="s">
        <v>75</v>
      </c>
      <c r="G20" s="141">
        <v>14</v>
      </c>
      <c r="H20" s="142" t="s">
        <v>73</v>
      </c>
      <c r="I20" s="143" t="s">
        <v>84</v>
      </c>
      <c r="J20" s="144" t="s">
        <v>133</v>
      </c>
    </row>
    <row r="21" spans="2:10" ht="16.5" customHeight="1" x14ac:dyDescent="0.25">
      <c r="B21" s="327"/>
      <c r="C21" s="95" t="s">
        <v>87</v>
      </c>
      <c r="D21" s="96" t="s">
        <v>147</v>
      </c>
      <c r="E21" s="97">
        <v>5</v>
      </c>
      <c r="F21" s="71" t="s">
        <v>75</v>
      </c>
      <c r="G21" s="72">
        <v>1</v>
      </c>
      <c r="H21" s="73" t="s">
        <v>73</v>
      </c>
      <c r="I21" s="74" t="s">
        <v>84</v>
      </c>
      <c r="J21" s="75"/>
    </row>
    <row r="22" spans="2:10" ht="16.5" customHeight="1" x14ac:dyDescent="0.25">
      <c r="B22" s="327"/>
      <c r="C22" s="83" t="s">
        <v>162</v>
      </c>
      <c r="D22" s="84" t="s">
        <v>149</v>
      </c>
      <c r="E22" s="85">
        <v>10</v>
      </c>
      <c r="F22" s="86" t="s">
        <v>75</v>
      </c>
      <c r="G22" s="87">
        <v>4</v>
      </c>
      <c r="H22" s="39" t="s">
        <v>73</v>
      </c>
      <c r="I22" s="88" t="s">
        <v>84</v>
      </c>
      <c r="J22" s="36"/>
    </row>
    <row r="23" spans="2:10" ht="16.5" customHeight="1" x14ac:dyDescent="0.25">
      <c r="B23" s="327"/>
      <c r="C23" s="83"/>
      <c r="D23" s="84" t="s">
        <v>150</v>
      </c>
      <c r="E23" s="85">
        <v>10</v>
      </c>
      <c r="F23" s="86" t="s">
        <v>75</v>
      </c>
      <c r="G23" s="87">
        <v>3</v>
      </c>
      <c r="H23" s="39" t="s">
        <v>73</v>
      </c>
      <c r="I23" s="88" t="s">
        <v>84</v>
      </c>
      <c r="J23" s="36"/>
    </row>
    <row r="24" spans="2:10" ht="16.5" customHeight="1" x14ac:dyDescent="0.25">
      <c r="B24" s="327"/>
      <c r="C24" s="83"/>
      <c r="D24" s="84" t="s">
        <v>151</v>
      </c>
      <c r="E24" s="85">
        <v>5</v>
      </c>
      <c r="F24" s="86" t="s">
        <v>75</v>
      </c>
      <c r="G24" s="87">
        <v>3</v>
      </c>
      <c r="H24" s="39" t="s">
        <v>73</v>
      </c>
      <c r="I24" s="88" t="s">
        <v>84</v>
      </c>
      <c r="J24" s="36"/>
    </row>
    <row r="25" spans="2:10" ht="16.5" customHeight="1" x14ac:dyDescent="0.25">
      <c r="B25" s="327"/>
      <c r="C25" s="83"/>
      <c r="D25" s="84" t="s">
        <v>179</v>
      </c>
      <c r="E25" s="85">
        <v>10</v>
      </c>
      <c r="F25" s="86" t="s">
        <v>75</v>
      </c>
      <c r="G25" s="87">
        <v>1</v>
      </c>
      <c r="H25" s="39" t="s">
        <v>123</v>
      </c>
      <c r="I25" s="88" t="s">
        <v>84</v>
      </c>
      <c r="J25" s="36" t="s">
        <v>176</v>
      </c>
    </row>
    <row r="26" spans="2:10" ht="16.5" customHeight="1" x14ac:dyDescent="0.25">
      <c r="B26" s="327"/>
      <c r="C26" s="83"/>
      <c r="D26" s="84" t="s">
        <v>180</v>
      </c>
      <c r="E26" s="85">
        <v>15</v>
      </c>
      <c r="F26" s="86" t="s">
        <v>75</v>
      </c>
      <c r="G26" s="87">
        <v>1</v>
      </c>
      <c r="H26" s="39" t="s">
        <v>73</v>
      </c>
      <c r="I26" s="88" t="s">
        <v>84</v>
      </c>
      <c r="J26" s="36"/>
    </row>
    <row r="27" spans="2:10" ht="16.5" customHeight="1" x14ac:dyDescent="0.25">
      <c r="B27" s="327"/>
      <c r="C27" s="83"/>
      <c r="D27" s="84" t="s">
        <v>174</v>
      </c>
      <c r="E27" s="85">
        <v>15</v>
      </c>
      <c r="F27" s="86" t="s">
        <v>75</v>
      </c>
      <c r="G27" s="87">
        <v>1</v>
      </c>
      <c r="H27" s="39" t="s">
        <v>73</v>
      </c>
      <c r="I27" s="88" t="s">
        <v>84</v>
      </c>
      <c r="J27" s="36"/>
    </row>
    <row r="28" spans="2:10" ht="16.5" customHeight="1" x14ac:dyDescent="0.25">
      <c r="B28" s="327"/>
      <c r="C28" s="83"/>
      <c r="D28" s="96" t="s">
        <v>181</v>
      </c>
      <c r="E28" s="97">
        <v>15</v>
      </c>
      <c r="F28" s="71" t="s">
        <v>75</v>
      </c>
      <c r="G28" s="72">
        <v>1</v>
      </c>
      <c r="H28" s="73" t="s">
        <v>73</v>
      </c>
      <c r="I28" s="74" t="s">
        <v>84</v>
      </c>
      <c r="J28" s="75"/>
    </row>
    <row r="29" spans="2:10" ht="16.5" customHeight="1" x14ac:dyDescent="0.25">
      <c r="B29" s="328"/>
      <c r="C29" s="103"/>
      <c r="D29" s="119" t="s">
        <v>171</v>
      </c>
      <c r="E29" s="145">
        <v>10</v>
      </c>
      <c r="F29" s="132" t="s">
        <v>75</v>
      </c>
      <c r="G29" s="133">
        <v>8</v>
      </c>
      <c r="H29" s="134" t="s">
        <v>73</v>
      </c>
      <c r="I29" s="135" t="s">
        <v>84</v>
      </c>
      <c r="J29" s="136" t="s">
        <v>153</v>
      </c>
    </row>
    <row r="30" spans="2:10" ht="16.5" customHeight="1" x14ac:dyDescent="0.25">
      <c r="B30" s="326" t="s">
        <v>160</v>
      </c>
      <c r="C30" s="98" t="s">
        <v>154</v>
      </c>
      <c r="D30" s="99" t="s">
        <v>155</v>
      </c>
      <c r="E30" s="100">
        <v>5</v>
      </c>
      <c r="F30" s="67" t="s">
        <v>75</v>
      </c>
      <c r="G30" s="65">
        <v>4</v>
      </c>
      <c r="H30" s="63" t="s">
        <v>73</v>
      </c>
      <c r="I30" s="69" t="s">
        <v>84</v>
      </c>
      <c r="J30" s="64" t="s">
        <v>164</v>
      </c>
    </row>
    <row r="31" spans="2:10" ht="16.5" customHeight="1" x14ac:dyDescent="0.25">
      <c r="B31" s="327"/>
      <c r="C31" s="83" t="s">
        <v>163</v>
      </c>
      <c r="D31" s="84" t="s">
        <v>156</v>
      </c>
      <c r="E31" s="85">
        <v>25</v>
      </c>
      <c r="F31" s="86" t="s">
        <v>74</v>
      </c>
      <c r="G31" s="87">
        <v>7</v>
      </c>
      <c r="H31" s="39" t="s">
        <v>73</v>
      </c>
      <c r="I31" s="88" t="s">
        <v>84</v>
      </c>
      <c r="J31" s="36" t="s">
        <v>164</v>
      </c>
    </row>
    <row r="32" spans="2:10" ht="16.5" customHeight="1" x14ac:dyDescent="0.25">
      <c r="B32" s="327"/>
      <c r="C32" s="83"/>
      <c r="D32" s="84" t="s">
        <v>157</v>
      </c>
      <c r="E32" s="85">
        <v>20</v>
      </c>
      <c r="F32" s="86" t="s">
        <v>74</v>
      </c>
      <c r="G32" s="87">
        <v>7</v>
      </c>
      <c r="H32" s="39" t="s">
        <v>73</v>
      </c>
      <c r="I32" s="88" t="s">
        <v>84</v>
      </c>
      <c r="J32" s="36"/>
    </row>
    <row r="33" spans="2:10" ht="16.5" customHeight="1" x14ac:dyDescent="0.25">
      <c r="B33" s="327"/>
      <c r="C33" s="83"/>
      <c r="D33" s="84" t="s">
        <v>158</v>
      </c>
      <c r="E33" s="85"/>
      <c r="F33" s="86"/>
      <c r="G33" s="87"/>
      <c r="H33" s="39" t="s">
        <v>72</v>
      </c>
      <c r="I33" s="88" t="s">
        <v>41</v>
      </c>
      <c r="J33" s="36"/>
    </row>
    <row r="34" spans="2:10" ht="16.5" customHeight="1" x14ac:dyDescent="0.25">
      <c r="B34" s="327"/>
      <c r="C34" s="83"/>
      <c r="D34" s="84" t="s">
        <v>159</v>
      </c>
      <c r="E34" s="85">
        <v>20</v>
      </c>
      <c r="F34" s="86" t="s">
        <v>74</v>
      </c>
      <c r="G34" s="87">
        <v>7</v>
      </c>
      <c r="H34" s="39" t="s">
        <v>72</v>
      </c>
      <c r="I34" s="88" t="s">
        <v>41</v>
      </c>
      <c r="J34" s="36"/>
    </row>
    <row r="35" spans="2:10" ht="16.5" customHeight="1" x14ac:dyDescent="0.25">
      <c r="B35" s="327"/>
      <c r="C35" s="61"/>
      <c r="D35" s="127" t="s">
        <v>166</v>
      </c>
      <c r="E35" s="62">
        <v>5</v>
      </c>
      <c r="F35" s="71" t="s">
        <v>74</v>
      </c>
      <c r="G35" s="72">
        <v>2</v>
      </c>
      <c r="H35" s="73" t="s">
        <v>72</v>
      </c>
      <c r="I35" s="74" t="s">
        <v>41</v>
      </c>
      <c r="J35" s="75"/>
    </row>
    <row r="36" spans="2:10" ht="16.5" customHeight="1" x14ac:dyDescent="0.25">
      <c r="B36" s="327"/>
      <c r="C36" s="83" t="s">
        <v>165</v>
      </c>
      <c r="D36" s="84" t="s">
        <v>168</v>
      </c>
      <c r="E36" s="85">
        <v>7</v>
      </c>
      <c r="F36" s="86" t="s">
        <v>75</v>
      </c>
      <c r="G36" s="87">
        <v>7</v>
      </c>
      <c r="H36" s="39" t="s">
        <v>72</v>
      </c>
      <c r="I36" s="88" t="s">
        <v>41</v>
      </c>
      <c r="J36" s="36" t="s">
        <v>164</v>
      </c>
    </row>
    <row r="37" spans="2:10" ht="16.5" customHeight="1" x14ac:dyDescent="0.25">
      <c r="B37" s="327"/>
      <c r="C37" s="83"/>
      <c r="D37" s="84" t="s">
        <v>169</v>
      </c>
      <c r="E37" s="85">
        <v>6</v>
      </c>
      <c r="F37" s="86" t="s">
        <v>75</v>
      </c>
      <c r="G37" s="87">
        <v>6</v>
      </c>
      <c r="H37" s="39" t="s">
        <v>72</v>
      </c>
      <c r="I37" s="88" t="s">
        <v>41</v>
      </c>
      <c r="J37" s="36"/>
    </row>
    <row r="38" spans="2:10" ht="16.5" customHeight="1" x14ac:dyDescent="0.25">
      <c r="B38" s="327"/>
      <c r="C38" s="83"/>
      <c r="D38" s="84" t="s">
        <v>167</v>
      </c>
      <c r="E38" s="85">
        <v>2</v>
      </c>
      <c r="F38" s="71" t="s">
        <v>75</v>
      </c>
      <c r="G38" s="72">
        <v>1</v>
      </c>
      <c r="H38" s="73" t="s">
        <v>72</v>
      </c>
      <c r="I38" s="74" t="s">
        <v>41</v>
      </c>
      <c r="J38" s="75"/>
    </row>
    <row r="39" spans="2:10" ht="16.5" customHeight="1" x14ac:dyDescent="0.25">
      <c r="B39" s="328"/>
      <c r="C39" s="103"/>
      <c r="D39" s="31" t="s">
        <v>175</v>
      </c>
      <c r="E39" s="60">
        <v>10</v>
      </c>
      <c r="F39" s="68" t="s">
        <v>75</v>
      </c>
      <c r="G39" s="66">
        <v>1</v>
      </c>
      <c r="H39" s="41" t="s">
        <v>73</v>
      </c>
      <c r="I39" s="70" t="s">
        <v>84</v>
      </c>
      <c r="J39" s="37"/>
    </row>
    <row r="40" spans="2:10" ht="14.25" customHeight="1" x14ac:dyDescent="0.25">
      <c r="B40" s="104" t="s">
        <v>126</v>
      </c>
    </row>
    <row r="41" spans="2:10" ht="14.25" customHeight="1" x14ac:dyDescent="0.25">
      <c r="B41" s="104"/>
    </row>
    <row r="42" spans="2:10" ht="14.25" customHeight="1" x14ac:dyDescent="0.25">
      <c r="B42" s="104"/>
    </row>
    <row r="43" spans="2:10" ht="14.25" customHeight="1" x14ac:dyDescent="0.25">
      <c r="B43" s="104"/>
    </row>
    <row r="44" spans="2:10" ht="14.25" customHeight="1" x14ac:dyDescent="0.25">
      <c r="B44" s="104"/>
    </row>
    <row r="45" spans="2:10" ht="14.25" customHeight="1" x14ac:dyDescent="0.25">
      <c r="B45" s="104"/>
    </row>
  </sheetData>
  <autoFilter ref="B3:J19" xr:uid="{00000000-0009-0000-0000-000001000000}"/>
  <mergeCells count="6">
    <mergeCell ref="B30:B39"/>
    <mergeCell ref="C1:J1"/>
    <mergeCell ref="C2:J2"/>
    <mergeCell ref="F3:G3"/>
    <mergeCell ref="B4:B19"/>
    <mergeCell ref="B20:B29"/>
  </mergeCells>
  <phoneticPr fontId="2" type="noConversion"/>
  <printOptions horizontalCentered="1"/>
  <pageMargins left="0.11811023622047245" right="0.11811023622047245" top="0.15748031496062992" bottom="0" header="0.31496062992125984" footer="0.31496062992125984"/>
  <pageSetup paperSize="9" scale="77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869E-3502-4095-9FC8-264688DB8773}">
  <dimension ref="B1:O63"/>
  <sheetViews>
    <sheetView showGridLines="0" zoomScaleNormal="100" workbookViewId="0">
      <pane ySplit="4" topLeftCell="A39" activePane="bottomLeft" state="frozen"/>
      <selection activeCell="C21" sqref="C21"/>
      <selection pane="bottomLeft" activeCell="L56" sqref="L56"/>
    </sheetView>
  </sheetViews>
  <sheetFormatPr defaultColWidth="9.140625" defaultRowHeight="14.25" customHeight="1" x14ac:dyDescent="0.25"/>
  <cols>
    <col min="1" max="1" width="1.85546875" style="21" customWidth="1"/>
    <col min="2" max="2" width="22.42578125" style="21" customWidth="1"/>
    <col min="3" max="3" width="34.7109375" style="23" customWidth="1"/>
    <col min="4" max="4" width="63.5703125" style="23" customWidth="1"/>
    <col min="5" max="5" width="8" style="24" customWidth="1"/>
    <col min="6" max="6" width="12.140625" style="25" customWidth="1"/>
    <col min="7" max="7" width="12.42578125" style="25" customWidth="1"/>
    <col min="8" max="8" width="11.7109375" style="25" customWidth="1"/>
    <col min="9" max="9" width="12.140625" style="25" customWidth="1"/>
    <col min="10" max="10" width="20.140625" style="25" customWidth="1"/>
    <col min="11" max="11" width="10.7109375" style="149" customWidth="1"/>
    <col min="12" max="12" width="8" style="149" customWidth="1"/>
    <col min="13" max="13" width="8" style="21" customWidth="1"/>
    <col min="14" max="16384" width="9.140625" style="21"/>
  </cols>
  <sheetData>
    <row r="1" spans="2:15" ht="12" customHeight="1" x14ac:dyDescent="0.25"/>
    <row r="2" spans="2:15" ht="21" customHeight="1" x14ac:dyDescent="0.25">
      <c r="B2" s="150" t="s">
        <v>193</v>
      </c>
      <c r="C2" s="151" t="s">
        <v>194</v>
      </c>
      <c r="D2" s="329" t="s">
        <v>195</v>
      </c>
      <c r="E2" s="330"/>
      <c r="F2" s="330"/>
      <c r="G2" s="330"/>
      <c r="H2" s="330"/>
      <c r="I2" s="330"/>
      <c r="J2" s="343"/>
    </row>
    <row r="3" spans="2:15" ht="21" customHeight="1" x14ac:dyDescent="0.25">
      <c r="B3" s="152" t="s">
        <v>33</v>
      </c>
      <c r="C3" s="334" t="s">
        <v>196</v>
      </c>
      <c r="D3" s="335"/>
      <c r="E3" s="335"/>
      <c r="F3" s="335"/>
      <c r="G3" s="335"/>
      <c r="H3" s="335"/>
      <c r="I3" s="335"/>
      <c r="J3" s="336"/>
      <c r="K3" s="153" t="s">
        <v>197</v>
      </c>
      <c r="L3" s="154" t="s">
        <v>198</v>
      </c>
    </row>
    <row r="4" spans="2:15" s="22" customFormat="1" ht="21" customHeight="1" x14ac:dyDescent="0.25">
      <c r="B4" s="155" t="s">
        <v>34</v>
      </c>
      <c r="C4" s="155" t="s">
        <v>35</v>
      </c>
      <c r="D4" s="152" t="s">
        <v>36</v>
      </c>
      <c r="E4" s="156" t="s">
        <v>199</v>
      </c>
      <c r="F4" s="157" t="s">
        <v>37</v>
      </c>
      <c r="G4" s="157" t="s">
        <v>200</v>
      </c>
      <c r="H4" s="156" t="s">
        <v>201</v>
      </c>
      <c r="I4" s="156" t="s">
        <v>202</v>
      </c>
      <c r="J4" s="156" t="s">
        <v>38</v>
      </c>
      <c r="K4" s="153" t="s">
        <v>203</v>
      </c>
      <c r="L4" s="153"/>
      <c r="M4" s="158"/>
    </row>
    <row r="5" spans="2:15" ht="30" customHeight="1" x14ac:dyDescent="0.25">
      <c r="B5" s="326" t="s">
        <v>204</v>
      </c>
      <c r="C5" s="159" t="s">
        <v>205</v>
      </c>
      <c r="D5" s="30" t="s">
        <v>206</v>
      </c>
      <c r="E5" s="160">
        <v>0.11</v>
      </c>
      <c r="F5" s="38" t="s">
        <v>207</v>
      </c>
      <c r="G5" s="38" t="s">
        <v>13</v>
      </c>
      <c r="H5" s="161" t="s">
        <v>208</v>
      </c>
      <c r="I5" s="162" t="s">
        <v>209</v>
      </c>
      <c r="J5" s="42"/>
      <c r="K5" s="163" t="s">
        <v>210</v>
      </c>
      <c r="L5" s="153"/>
      <c r="M5" s="22"/>
      <c r="N5" s="164"/>
      <c r="O5" s="22"/>
    </row>
    <row r="6" spans="2:15" ht="30" customHeight="1" x14ac:dyDescent="0.25">
      <c r="B6" s="327"/>
      <c r="C6" s="165" t="s">
        <v>211</v>
      </c>
      <c r="D6" s="166" t="s">
        <v>212</v>
      </c>
      <c r="E6" s="167">
        <v>0.11</v>
      </c>
      <c r="F6" s="39"/>
      <c r="G6" s="39"/>
      <c r="H6" s="168"/>
      <c r="I6" s="169"/>
      <c r="J6" s="36"/>
      <c r="K6" s="163" t="s">
        <v>213</v>
      </c>
      <c r="L6" s="153"/>
      <c r="M6" s="22"/>
      <c r="N6" s="170"/>
      <c r="O6" s="22"/>
    </row>
    <row r="7" spans="2:15" ht="19.5" customHeight="1" x14ac:dyDescent="0.25">
      <c r="B7" s="327"/>
      <c r="C7" s="165" t="s">
        <v>214</v>
      </c>
      <c r="D7" s="166" t="s">
        <v>215</v>
      </c>
      <c r="E7" s="167">
        <v>0.09</v>
      </c>
      <c r="F7" s="39"/>
      <c r="G7" s="39"/>
      <c r="H7" s="168"/>
      <c r="I7" s="39"/>
      <c r="J7" s="36"/>
      <c r="K7" s="163" t="s">
        <v>216</v>
      </c>
      <c r="L7" s="153"/>
      <c r="M7" s="22"/>
      <c r="N7" s="170"/>
      <c r="O7" s="22"/>
    </row>
    <row r="8" spans="2:15" ht="19.5" customHeight="1" x14ac:dyDescent="0.25">
      <c r="B8" s="327"/>
      <c r="C8" s="165" t="s">
        <v>217</v>
      </c>
      <c r="D8" s="166" t="s">
        <v>218</v>
      </c>
      <c r="E8" s="167">
        <v>0.1</v>
      </c>
      <c r="F8" s="39"/>
      <c r="G8" s="39"/>
      <c r="H8" s="168"/>
      <c r="I8" s="171"/>
      <c r="J8" s="36"/>
      <c r="K8" s="163" t="s">
        <v>219</v>
      </c>
      <c r="L8" s="153"/>
      <c r="M8" s="22"/>
      <c r="N8" s="170"/>
      <c r="O8" s="22"/>
    </row>
    <row r="9" spans="2:15" ht="19.5" customHeight="1" x14ac:dyDescent="0.25">
      <c r="B9" s="327"/>
      <c r="C9" s="165" t="s">
        <v>220</v>
      </c>
      <c r="D9" s="166" t="s">
        <v>221</v>
      </c>
      <c r="E9" s="167">
        <v>0.09</v>
      </c>
      <c r="F9" s="39"/>
      <c r="G9" s="39"/>
      <c r="H9" s="168"/>
      <c r="I9" s="171"/>
      <c r="J9" s="36"/>
      <c r="K9" s="163" t="s">
        <v>222</v>
      </c>
      <c r="L9" s="153"/>
      <c r="M9" s="22"/>
      <c r="N9" s="22"/>
      <c r="O9" s="22"/>
    </row>
    <row r="10" spans="2:15" ht="19.5" customHeight="1" x14ac:dyDescent="0.25">
      <c r="B10" s="327"/>
      <c r="C10" s="165" t="s">
        <v>223</v>
      </c>
      <c r="D10" s="166" t="s">
        <v>224</v>
      </c>
      <c r="E10" s="167">
        <v>0.05</v>
      </c>
      <c r="F10" s="39"/>
      <c r="G10" s="39"/>
      <c r="H10" s="168"/>
      <c r="I10" s="171"/>
      <c r="J10" s="36"/>
      <c r="K10" s="163" t="s">
        <v>225</v>
      </c>
      <c r="L10" s="153"/>
      <c r="M10" s="22"/>
      <c r="N10" s="22"/>
      <c r="O10" s="22"/>
    </row>
    <row r="11" spans="2:15" ht="19.5" customHeight="1" x14ac:dyDescent="0.25">
      <c r="B11" s="328"/>
      <c r="C11" s="172" t="s">
        <v>226</v>
      </c>
      <c r="D11" s="31" t="s">
        <v>227</v>
      </c>
      <c r="E11" s="173">
        <v>0.05</v>
      </c>
      <c r="F11" s="41"/>
      <c r="G11" s="41"/>
      <c r="H11" s="174"/>
      <c r="I11" s="175"/>
      <c r="J11" s="37"/>
      <c r="K11" s="163" t="s">
        <v>228</v>
      </c>
      <c r="L11" s="153"/>
      <c r="M11" s="22"/>
      <c r="N11" s="22"/>
      <c r="O11" s="22"/>
    </row>
    <row r="12" spans="2:15" ht="9.75" customHeight="1" collapsed="1" x14ac:dyDescent="0.25"/>
    <row r="13" spans="2:15" ht="21" customHeight="1" x14ac:dyDescent="0.25">
      <c r="B13" s="150" t="s">
        <v>229</v>
      </c>
      <c r="C13" s="151" t="s">
        <v>230</v>
      </c>
      <c r="D13" s="329" t="s">
        <v>231</v>
      </c>
      <c r="E13" s="330"/>
      <c r="F13" s="330"/>
      <c r="G13" s="330"/>
      <c r="H13" s="330"/>
      <c r="I13" s="330"/>
      <c r="J13" s="343"/>
    </row>
    <row r="14" spans="2:15" ht="21" customHeight="1" x14ac:dyDescent="0.25">
      <c r="B14" s="152" t="s">
        <v>33</v>
      </c>
      <c r="C14" s="334" t="s">
        <v>232</v>
      </c>
      <c r="D14" s="335"/>
      <c r="E14" s="335"/>
      <c r="F14" s="335"/>
      <c r="G14" s="335"/>
      <c r="H14" s="335"/>
      <c r="I14" s="335"/>
      <c r="J14" s="336"/>
      <c r="K14" s="153" t="s">
        <v>197</v>
      </c>
      <c r="L14" s="154" t="s">
        <v>233</v>
      </c>
    </row>
    <row r="15" spans="2:15" s="22" customFormat="1" ht="21" customHeight="1" x14ac:dyDescent="0.25">
      <c r="B15" s="155" t="s">
        <v>34</v>
      </c>
      <c r="C15" s="155" t="s">
        <v>35</v>
      </c>
      <c r="D15" s="152" t="s">
        <v>36</v>
      </c>
      <c r="E15" s="156" t="s">
        <v>234</v>
      </c>
      <c r="F15" s="157" t="s">
        <v>37</v>
      </c>
      <c r="G15" s="157" t="s">
        <v>200</v>
      </c>
      <c r="H15" s="156" t="s">
        <v>201</v>
      </c>
      <c r="I15" s="156" t="s">
        <v>202</v>
      </c>
      <c r="J15" s="156" t="s">
        <v>38</v>
      </c>
      <c r="K15" s="153" t="s">
        <v>203</v>
      </c>
      <c r="L15" s="153"/>
      <c r="M15" s="158"/>
    </row>
    <row r="16" spans="2:15" ht="19.5" customHeight="1" x14ac:dyDescent="0.25">
      <c r="B16" s="326" t="s">
        <v>235</v>
      </c>
      <c r="C16" s="344" t="s">
        <v>236</v>
      </c>
      <c r="D16" s="30" t="s">
        <v>237</v>
      </c>
      <c r="E16" s="177">
        <v>0.3</v>
      </c>
      <c r="F16" s="38" t="s">
        <v>207</v>
      </c>
      <c r="G16" s="38" t="s">
        <v>238</v>
      </c>
      <c r="H16" s="161" t="s">
        <v>239</v>
      </c>
      <c r="I16" s="162" t="s">
        <v>209</v>
      </c>
      <c r="J16" s="178"/>
      <c r="K16" s="179" t="s">
        <v>240</v>
      </c>
      <c r="L16" s="180"/>
      <c r="M16" s="22"/>
      <c r="N16" s="164"/>
      <c r="O16" s="22"/>
    </row>
    <row r="17" spans="2:15" ht="19.5" customHeight="1" x14ac:dyDescent="0.25">
      <c r="B17" s="327"/>
      <c r="C17" s="345"/>
      <c r="D17" s="35" t="s">
        <v>241</v>
      </c>
      <c r="E17" s="182">
        <v>0.4</v>
      </c>
      <c r="F17" s="39"/>
      <c r="G17" s="39"/>
      <c r="H17" s="168"/>
      <c r="I17" s="169"/>
      <c r="J17" s="183"/>
      <c r="K17" s="179" t="s">
        <v>242</v>
      </c>
      <c r="L17" s="180"/>
      <c r="M17" s="22"/>
      <c r="N17" s="164"/>
      <c r="O17" s="22"/>
    </row>
    <row r="18" spans="2:15" ht="19.5" customHeight="1" x14ac:dyDescent="0.25">
      <c r="B18" s="327"/>
      <c r="C18" s="345"/>
      <c r="D18" s="35" t="s">
        <v>243</v>
      </c>
      <c r="E18" s="182">
        <v>0.4</v>
      </c>
      <c r="F18" s="39"/>
      <c r="G18" s="39"/>
      <c r="H18" s="168"/>
      <c r="I18" s="169"/>
      <c r="J18" s="183"/>
      <c r="K18" s="179" t="s">
        <v>244</v>
      </c>
      <c r="L18" s="180"/>
      <c r="M18" s="22"/>
      <c r="N18" s="164"/>
      <c r="O18" s="22"/>
    </row>
    <row r="19" spans="2:15" ht="19.5" customHeight="1" x14ac:dyDescent="0.25">
      <c r="B19" s="327"/>
      <c r="C19" s="346"/>
      <c r="D19" s="35" t="s">
        <v>245</v>
      </c>
      <c r="E19" s="182">
        <v>0.4</v>
      </c>
      <c r="F19" s="39"/>
      <c r="G19" s="39"/>
      <c r="H19" s="168"/>
      <c r="I19" s="169"/>
      <c r="J19" s="183"/>
      <c r="K19" s="179" t="s">
        <v>244</v>
      </c>
      <c r="L19" s="180"/>
      <c r="M19" s="22"/>
      <c r="N19" s="164"/>
      <c r="O19" s="22"/>
    </row>
    <row r="20" spans="2:15" ht="30" customHeight="1" x14ac:dyDescent="0.25">
      <c r="B20" s="327"/>
      <c r="C20" s="165" t="s">
        <v>246</v>
      </c>
      <c r="D20" s="166" t="s">
        <v>247</v>
      </c>
      <c r="E20" s="184">
        <v>0.4</v>
      </c>
      <c r="F20" s="39"/>
      <c r="G20" s="39"/>
      <c r="H20" s="168"/>
      <c r="I20" s="169"/>
      <c r="J20" s="36"/>
      <c r="K20" s="179" t="s">
        <v>248</v>
      </c>
      <c r="L20" s="153"/>
      <c r="M20" s="22"/>
      <c r="N20" s="170"/>
      <c r="O20" s="22"/>
    </row>
    <row r="21" spans="2:15" ht="19.5" customHeight="1" x14ac:dyDescent="0.25">
      <c r="B21" s="327"/>
      <c r="C21" s="347" t="s">
        <v>249</v>
      </c>
      <c r="D21" s="40" t="s">
        <v>250</v>
      </c>
      <c r="E21" s="185">
        <v>0.3</v>
      </c>
      <c r="F21" s="39"/>
      <c r="G21" s="39"/>
      <c r="H21" s="168"/>
      <c r="I21" s="169"/>
      <c r="J21" s="186"/>
      <c r="K21" s="179" t="s">
        <v>251</v>
      </c>
      <c r="L21" s="153"/>
      <c r="M21" s="22"/>
      <c r="N21" s="170"/>
      <c r="O21" s="22"/>
    </row>
    <row r="22" spans="2:15" ht="30" customHeight="1" x14ac:dyDescent="0.25">
      <c r="B22" s="327"/>
      <c r="C22" s="348"/>
      <c r="D22" s="31" t="s">
        <v>252</v>
      </c>
      <c r="E22" s="187">
        <v>0.3</v>
      </c>
      <c r="F22" s="41"/>
      <c r="G22" s="41"/>
      <c r="H22" s="174"/>
      <c r="I22" s="175"/>
      <c r="J22" s="37"/>
      <c r="K22" s="179" t="s">
        <v>253</v>
      </c>
      <c r="L22" s="153"/>
      <c r="M22" s="22"/>
      <c r="N22" s="22"/>
      <c r="O22" s="22"/>
    </row>
    <row r="23" spans="2:15" ht="19.5" customHeight="1" x14ac:dyDescent="0.25">
      <c r="B23" s="328"/>
      <c r="C23" s="172" t="s">
        <v>254</v>
      </c>
      <c r="D23" s="31" t="s">
        <v>255</v>
      </c>
      <c r="E23" s="188">
        <v>0.3</v>
      </c>
      <c r="F23" s="41"/>
      <c r="G23" s="41"/>
      <c r="H23" s="174"/>
      <c r="I23" s="189"/>
      <c r="J23" s="190"/>
      <c r="K23" s="179" t="s">
        <v>256</v>
      </c>
      <c r="L23" s="153"/>
      <c r="M23" s="22"/>
      <c r="N23" s="170"/>
      <c r="O23" s="22"/>
    </row>
    <row r="24" spans="2:15" ht="9.75" customHeight="1" collapsed="1" x14ac:dyDescent="0.25"/>
    <row r="25" spans="2:15" ht="21" customHeight="1" x14ac:dyDescent="0.25">
      <c r="B25" s="150" t="s">
        <v>257</v>
      </c>
      <c r="C25" s="151" t="s">
        <v>258</v>
      </c>
      <c r="D25" s="329" t="s">
        <v>259</v>
      </c>
      <c r="E25" s="330"/>
      <c r="F25" s="330"/>
      <c r="G25" s="330"/>
      <c r="H25" s="330"/>
      <c r="I25" s="330"/>
      <c r="J25" s="343"/>
    </row>
    <row r="26" spans="2:15" ht="21" customHeight="1" x14ac:dyDescent="0.25">
      <c r="B26" s="152" t="s">
        <v>33</v>
      </c>
      <c r="C26" s="334" t="s">
        <v>260</v>
      </c>
      <c r="D26" s="335"/>
      <c r="E26" s="335"/>
      <c r="F26" s="335"/>
      <c r="G26" s="335"/>
      <c r="H26" s="335"/>
      <c r="I26" s="335"/>
      <c r="J26" s="336"/>
      <c r="K26" s="153" t="s">
        <v>197</v>
      </c>
      <c r="L26" s="154" t="s">
        <v>261</v>
      </c>
    </row>
    <row r="27" spans="2:15" s="22" customFormat="1" ht="21" customHeight="1" x14ac:dyDescent="0.25">
      <c r="B27" s="155" t="s">
        <v>34</v>
      </c>
      <c r="C27" s="155" t="s">
        <v>35</v>
      </c>
      <c r="D27" s="152" t="s">
        <v>36</v>
      </c>
      <c r="E27" s="156" t="s">
        <v>234</v>
      </c>
      <c r="F27" s="157" t="s">
        <v>37</v>
      </c>
      <c r="G27" s="157" t="s">
        <v>200</v>
      </c>
      <c r="H27" s="156" t="s">
        <v>201</v>
      </c>
      <c r="I27" s="156" t="s">
        <v>202</v>
      </c>
      <c r="J27" s="156" t="s">
        <v>38</v>
      </c>
      <c r="K27" s="153" t="s">
        <v>203</v>
      </c>
      <c r="L27" s="153"/>
      <c r="M27" s="158"/>
    </row>
    <row r="28" spans="2:15" ht="19.5" customHeight="1" x14ac:dyDescent="0.25">
      <c r="B28" s="326" t="s">
        <v>262</v>
      </c>
      <c r="C28" s="159" t="s">
        <v>263</v>
      </c>
      <c r="D28" s="30" t="s">
        <v>264</v>
      </c>
      <c r="E28" s="177">
        <v>1</v>
      </c>
      <c r="F28" s="38" t="s">
        <v>207</v>
      </c>
      <c r="G28" s="38" t="s">
        <v>7</v>
      </c>
      <c r="H28" s="161" t="s">
        <v>265</v>
      </c>
      <c r="I28" s="162" t="s">
        <v>266</v>
      </c>
      <c r="J28" s="42"/>
      <c r="K28" s="179" t="s">
        <v>267</v>
      </c>
      <c r="L28" s="180"/>
      <c r="M28" s="22"/>
      <c r="N28" s="164"/>
      <c r="O28" s="22"/>
    </row>
    <row r="29" spans="2:15" ht="19.5" customHeight="1" x14ac:dyDescent="0.25">
      <c r="B29" s="327"/>
      <c r="C29" s="165" t="s">
        <v>268</v>
      </c>
      <c r="D29" s="166" t="s">
        <v>269</v>
      </c>
      <c r="E29" s="184">
        <v>1</v>
      </c>
      <c r="F29" s="39"/>
      <c r="G29" s="39"/>
      <c r="H29" s="168"/>
      <c r="I29" s="169"/>
      <c r="J29" s="36"/>
      <c r="K29" s="179"/>
      <c r="L29" s="153"/>
      <c r="M29" s="22"/>
      <c r="N29" s="170"/>
      <c r="O29" s="22"/>
    </row>
    <row r="30" spans="2:15" ht="19.5" customHeight="1" x14ac:dyDescent="0.25">
      <c r="B30" s="328"/>
      <c r="C30" s="172" t="s">
        <v>270</v>
      </c>
      <c r="D30" s="31" t="s">
        <v>271</v>
      </c>
      <c r="E30" s="187">
        <v>0.5</v>
      </c>
      <c r="F30" s="41"/>
      <c r="G30" s="41"/>
      <c r="H30" s="174"/>
      <c r="I30" s="175"/>
      <c r="J30" s="37"/>
      <c r="K30" s="179"/>
      <c r="L30" s="153"/>
      <c r="M30" s="22"/>
      <c r="N30" s="22"/>
      <c r="O30" s="22"/>
    </row>
    <row r="31" spans="2:15" ht="9.75" customHeight="1" collapsed="1" x14ac:dyDescent="0.25"/>
    <row r="32" spans="2:15" ht="21" customHeight="1" x14ac:dyDescent="0.25">
      <c r="B32" s="150" t="s">
        <v>272</v>
      </c>
      <c r="C32" s="151" t="s">
        <v>273</v>
      </c>
      <c r="D32" s="329" t="s">
        <v>274</v>
      </c>
      <c r="E32" s="330"/>
      <c r="F32" s="330"/>
      <c r="G32" s="330"/>
      <c r="H32" s="330"/>
      <c r="I32" s="330"/>
      <c r="J32" s="343"/>
    </row>
    <row r="33" spans="2:15" ht="21" customHeight="1" x14ac:dyDescent="0.25">
      <c r="B33" s="152" t="s">
        <v>33</v>
      </c>
      <c r="C33" s="334" t="s">
        <v>275</v>
      </c>
      <c r="D33" s="335"/>
      <c r="E33" s="335"/>
      <c r="F33" s="335"/>
      <c r="G33" s="335"/>
      <c r="H33" s="335"/>
      <c r="I33" s="335"/>
      <c r="J33" s="336"/>
      <c r="K33" s="153" t="s">
        <v>197</v>
      </c>
      <c r="L33" s="154" t="s">
        <v>276</v>
      </c>
    </row>
    <row r="34" spans="2:15" s="22" customFormat="1" ht="21" customHeight="1" x14ac:dyDescent="0.25">
      <c r="B34" s="155" t="s">
        <v>34</v>
      </c>
      <c r="C34" s="155" t="s">
        <v>35</v>
      </c>
      <c r="D34" s="152" t="s">
        <v>36</v>
      </c>
      <c r="E34" s="156" t="s">
        <v>234</v>
      </c>
      <c r="F34" s="157" t="s">
        <v>37</v>
      </c>
      <c r="G34" s="157" t="s">
        <v>200</v>
      </c>
      <c r="H34" s="156" t="s">
        <v>201</v>
      </c>
      <c r="I34" s="156" t="s">
        <v>202</v>
      </c>
      <c r="J34" s="156" t="s">
        <v>38</v>
      </c>
      <c r="K34" s="153" t="s">
        <v>203</v>
      </c>
      <c r="L34" s="153"/>
      <c r="M34" s="158"/>
    </row>
    <row r="35" spans="2:15" ht="19.5" customHeight="1" x14ac:dyDescent="0.25">
      <c r="B35" s="326" t="s">
        <v>277</v>
      </c>
      <c r="C35" s="159" t="s">
        <v>278</v>
      </c>
      <c r="D35" s="30" t="s">
        <v>279</v>
      </c>
      <c r="E35" s="177">
        <v>1</v>
      </c>
      <c r="F35" s="38" t="s">
        <v>207</v>
      </c>
      <c r="G35" s="38" t="s">
        <v>280</v>
      </c>
      <c r="H35" s="161" t="s">
        <v>281</v>
      </c>
      <c r="I35" s="162" t="s">
        <v>209</v>
      </c>
      <c r="J35" s="42"/>
      <c r="K35" s="163" t="s">
        <v>282</v>
      </c>
      <c r="L35" s="180"/>
      <c r="M35" s="22"/>
      <c r="N35" s="164"/>
      <c r="O35" s="22"/>
    </row>
    <row r="36" spans="2:15" ht="19.5" customHeight="1" x14ac:dyDescent="0.25">
      <c r="B36" s="328"/>
      <c r="C36" s="172"/>
      <c r="D36" s="31" t="s">
        <v>283</v>
      </c>
      <c r="E36" s="187">
        <v>0.5</v>
      </c>
      <c r="F36" s="41"/>
      <c r="G36" s="41"/>
      <c r="H36" s="174"/>
      <c r="I36" s="175"/>
      <c r="J36" s="37"/>
      <c r="K36" s="179"/>
      <c r="L36" s="153"/>
      <c r="M36" s="22"/>
      <c r="N36" s="22"/>
      <c r="O36" s="22"/>
    </row>
    <row r="37" spans="2:15" ht="9.75" customHeight="1" collapsed="1" x14ac:dyDescent="0.25"/>
    <row r="38" spans="2:15" ht="21" customHeight="1" x14ac:dyDescent="0.25">
      <c r="B38" s="150" t="s">
        <v>272</v>
      </c>
      <c r="C38" s="151" t="s">
        <v>284</v>
      </c>
      <c r="D38" s="329" t="s">
        <v>285</v>
      </c>
      <c r="E38" s="330"/>
      <c r="F38" s="330"/>
      <c r="G38" s="330"/>
      <c r="H38" s="330"/>
      <c r="I38" s="330"/>
      <c r="J38" s="343"/>
    </row>
    <row r="39" spans="2:15" ht="21" customHeight="1" x14ac:dyDescent="0.25">
      <c r="B39" s="152" t="s">
        <v>33</v>
      </c>
      <c r="C39" s="334" t="s">
        <v>286</v>
      </c>
      <c r="D39" s="335"/>
      <c r="E39" s="335"/>
      <c r="F39" s="335"/>
      <c r="G39" s="335"/>
      <c r="H39" s="335"/>
      <c r="I39" s="335"/>
      <c r="J39" s="336"/>
      <c r="K39" s="153" t="s">
        <v>197</v>
      </c>
      <c r="L39" s="293" t="s">
        <v>488</v>
      </c>
    </row>
    <row r="40" spans="2:15" s="22" customFormat="1" ht="21" customHeight="1" x14ac:dyDescent="0.25">
      <c r="B40" s="155" t="s">
        <v>34</v>
      </c>
      <c r="C40" s="155" t="s">
        <v>35</v>
      </c>
      <c r="D40" s="152" t="s">
        <v>36</v>
      </c>
      <c r="E40" s="156" t="s">
        <v>234</v>
      </c>
      <c r="F40" s="157" t="s">
        <v>37</v>
      </c>
      <c r="G40" s="157" t="s">
        <v>200</v>
      </c>
      <c r="H40" s="156" t="s">
        <v>201</v>
      </c>
      <c r="I40" s="156" t="s">
        <v>202</v>
      </c>
      <c r="J40" s="156" t="s">
        <v>38</v>
      </c>
      <c r="K40" s="153" t="s">
        <v>203</v>
      </c>
      <c r="L40" s="153"/>
      <c r="M40" s="158"/>
    </row>
    <row r="41" spans="2:15" ht="19.5" customHeight="1" x14ac:dyDescent="0.25">
      <c r="B41" s="341" t="s">
        <v>287</v>
      </c>
      <c r="C41" s="191" t="s">
        <v>288</v>
      </c>
      <c r="D41" s="30" t="s">
        <v>289</v>
      </c>
      <c r="E41" s="177">
        <v>0.2</v>
      </c>
      <c r="F41" s="38" t="s">
        <v>207</v>
      </c>
      <c r="G41" s="192" t="s">
        <v>290</v>
      </c>
      <c r="H41" s="161" t="s">
        <v>291</v>
      </c>
      <c r="I41" s="162" t="s">
        <v>209</v>
      </c>
      <c r="J41" s="42"/>
      <c r="K41" s="163" t="s">
        <v>292</v>
      </c>
      <c r="L41" s="180"/>
      <c r="M41" s="22"/>
      <c r="N41" s="164"/>
      <c r="O41" s="22"/>
    </row>
    <row r="42" spans="2:15" ht="19.5" customHeight="1" x14ac:dyDescent="0.25">
      <c r="B42" s="328"/>
      <c r="C42" s="172" t="s">
        <v>293</v>
      </c>
      <c r="D42" s="31" t="s">
        <v>294</v>
      </c>
      <c r="E42" s="187">
        <v>0.3</v>
      </c>
      <c r="F42" s="41"/>
      <c r="G42" s="41"/>
      <c r="H42" s="174"/>
      <c r="I42" s="175" t="s">
        <v>295</v>
      </c>
      <c r="J42" s="37"/>
      <c r="K42" s="179"/>
      <c r="L42" s="153"/>
      <c r="M42" s="22"/>
      <c r="N42" s="22"/>
      <c r="O42" s="22"/>
    </row>
    <row r="43" spans="2:15" ht="9.75" customHeight="1" collapsed="1" x14ac:dyDescent="0.25"/>
    <row r="44" spans="2:15" ht="21" customHeight="1" x14ac:dyDescent="0.25">
      <c r="B44" s="150" t="s">
        <v>296</v>
      </c>
      <c r="C44" s="151" t="s">
        <v>297</v>
      </c>
      <c r="D44" s="329" t="s">
        <v>298</v>
      </c>
      <c r="E44" s="330"/>
      <c r="F44" s="330"/>
      <c r="G44" s="330"/>
      <c r="H44" s="330"/>
      <c r="I44" s="330"/>
      <c r="J44" s="343"/>
    </row>
    <row r="45" spans="2:15" ht="21" customHeight="1" x14ac:dyDescent="0.25">
      <c r="B45" s="152" t="s">
        <v>33</v>
      </c>
      <c r="C45" s="334" t="s">
        <v>299</v>
      </c>
      <c r="D45" s="335"/>
      <c r="E45" s="335"/>
      <c r="F45" s="335"/>
      <c r="G45" s="335"/>
      <c r="H45" s="335"/>
      <c r="I45" s="335"/>
      <c r="J45" s="336"/>
      <c r="K45" s="153" t="s">
        <v>197</v>
      </c>
      <c r="L45" s="293" t="s">
        <v>491</v>
      </c>
    </row>
    <row r="46" spans="2:15" s="22" customFormat="1" ht="21" customHeight="1" x14ac:dyDescent="0.25">
      <c r="B46" s="155" t="s">
        <v>34</v>
      </c>
      <c r="C46" s="155" t="s">
        <v>35</v>
      </c>
      <c r="D46" s="152" t="s">
        <v>36</v>
      </c>
      <c r="E46" s="156" t="s">
        <v>234</v>
      </c>
      <c r="F46" s="157" t="s">
        <v>37</v>
      </c>
      <c r="G46" s="157" t="s">
        <v>200</v>
      </c>
      <c r="H46" s="156" t="s">
        <v>201</v>
      </c>
      <c r="I46" s="156" t="s">
        <v>202</v>
      </c>
      <c r="J46" s="156" t="s">
        <v>38</v>
      </c>
      <c r="K46" s="153"/>
      <c r="L46" s="153"/>
      <c r="M46" s="158"/>
    </row>
    <row r="47" spans="2:15" ht="19.5" customHeight="1" x14ac:dyDescent="0.25">
      <c r="B47" s="341" t="s">
        <v>300</v>
      </c>
      <c r="C47" s="191" t="s">
        <v>301</v>
      </c>
      <c r="D47" s="30" t="s">
        <v>302</v>
      </c>
      <c r="E47" s="177">
        <v>1</v>
      </c>
      <c r="F47" s="38" t="s">
        <v>207</v>
      </c>
      <c r="G47" s="176" t="s">
        <v>303</v>
      </c>
      <c r="H47" s="161" t="s">
        <v>304</v>
      </c>
      <c r="I47" s="162" t="s">
        <v>266</v>
      </c>
      <c r="J47" s="42"/>
      <c r="K47" s="163"/>
      <c r="L47" s="180"/>
      <c r="M47" s="22"/>
      <c r="N47" s="164"/>
      <c r="O47" s="22"/>
    </row>
    <row r="48" spans="2:15" ht="19.5" customHeight="1" x14ac:dyDescent="0.25">
      <c r="B48" s="342"/>
      <c r="C48" s="193" t="s">
        <v>305</v>
      </c>
      <c r="D48" s="194" t="s">
        <v>306</v>
      </c>
      <c r="E48" s="195">
        <v>1</v>
      </c>
      <c r="F48" s="39"/>
      <c r="G48" s="181" t="s">
        <v>307</v>
      </c>
      <c r="H48" s="168"/>
      <c r="I48" s="169"/>
      <c r="J48" s="36"/>
      <c r="K48" s="163"/>
      <c r="L48" s="180"/>
      <c r="M48" s="22"/>
      <c r="N48" s="164"/>
      <c r="O48" s="22"/>
    </row>
    <row r="49" spans="2:15" ht="19.5" customHeight="1" x14ac:dyDescent="0.25">
      <c r="B49" s="342"/>
      <c r="C49" s="196" t="s">
        <v>308</v>
      </c>
      <c r="D49" s="197" t="s">
        <v>309</v>
      </c>
      <c r="E49" s="198">
        <v>1</v>
      </c>
      <c r="F49" s="39"/>
      <c r="G49" s="181"/>
      <c r="H49" s="168"/>
      <c r="I49" s="169"/>
      <c r="J49" s="36"/>
      <c r="K49" s="163"/>
      <c r="L49" s="180"/>
      <c r="M49" s="22"/>
      <c r="N49" s="164"/>
      <c r="O49" s="22"/>
    </row>
    <row r="50" spans="2:15" ht="19.5" customHeight="1" x14ac:dyDescent="0.25">
      <c r="B50" s="342"/>
      <c r="C50" s="196" t="s">
        <v>310</v>
      </c>
      <c r="D50" s="197" t="s">
        <v>311</v>
      </c>
      <c r="E50" s="198">
        <v>2</v>
      </c>
      <c r="F50" s="39"/>
      <c r="G50" s="199"/>
      <c r="H50" s="168"/>
      <c r="I50" s="169"/>
      <c r="J50" s="36"/>
      <c r="K50" s="163"/>
      <c r="L50" s="180"/>
      <c r="M50" s="22"/>
      <c r="N50" s="164"/>
      <c r="O50" s="22"/>
    </row>
    <row r="51" spans="2:15" ht="19.5" customHeight="1" x14ac:dyDescent="0.25">
      <c r="B51" s="342"/>
      <c r="C51" s="196" t="s">
        <v>312</v>
      </c>
      <c r="D51" s="197" t="s">
        <v>313</v>
      </c>
      <c r="E51" s="198">
        <v>0.5</v>
      </c>
      <c r="F51" s="39"/>
      <c r="G51" s="199"/>
      <c r="H51" s="168"/>
      <c r="I51" s="169"/>
      <c r="J51" s="36"/>
      <c r="K51" s="163"/>
      <c r="L51" s="180"/>
      <c r="M51" s="22"/>
      <c r="N51" s="164"/>
      <c r="O51" s="22"/>
    </row>
    <row r="52" spans="2:15" ht="19.5" customHeight="1" x14ac:dyDescent="0.25">
      <c r="B52" s="342"/>
      <c r="C52" s="200" t="s">
        <v>314</v>
      </c>
      <c r="D52" s="84" t="s">
        <v>315</v>
      </c>
      <c r="E52" s="201">
        <v>0.5</v>
      </c>
      <c r="F52" s="39"/>
      <c r="G52" s="199"/>
      <c r="H52" s="168"/>
      <c r="I52" s="169"/>
      <c r="J52" s="36"/>
      <c r="K52" s="163"/>
      <c r="L52" s="180"/>
      <c r="M52" s="22"/>
      <c r="N52" s="164"/>
      <c r="O52" s="22"/>
    </row>
    <row r="53" spans="2:15" ht="19.5" customHeight="1" x14ac:dyDescent="0.25">
      <c r="B53" s="328"/>
      <c r="C53" s="172" t="s">
        <v>316</v>
      </c>
      <c r="D53" s="31" t="s">
        <v>317</v>
      </c>
      <c r="E53" s="187">
        <v>2</v>
      </c>
      <c r="F53" s="41"/>
      <c r="G53" s="41"/>
      <c r="H53" s="174"/>
      <c r="I53" s="175"/>
      <c r="J53" s="37"/>
      <c r="K53" s="179"/>
      <c r="L53" s="153"/>
      <c r="M53" s="22"/>
      <c r="N53" s="22"/>
      <c r="O53" s="22"/>
    </row>
    <row r="54" spans="2:15" ht="9.75" customHeight="1" collapsed="1" x14ac:dyDescent="0.25"/>
    <row r="55" spans="2:15" ht="21" customHeight="1" x14ac:dyDescent="0.25">
      <c r="B55" s="150" t="s">
        <v>318</v>
      </c>
      <c r="C55" s="151" t="s">
        <v>319</v>
      </c>
      <c r="D55" s="329" t="s">
        <v>320</v>
      </c>
      <c r="E55" s="330"/>
      <c r="F55" s="330"/>
      <c r="G55" s="330"/>
      <c r="H55" s="330"/>
      <c r="I55" s="330"/>
      <c r="J55" s="343"/>
      <c r="L55" s="202"/>
    </row>
    <row r="56" spans="2:15" ht="21" customHeight="1" x14ac:dyDescent="0.25">
      <c r="B56" s="152" t="s">
        <v>33</v>
      </c>
      <c r="C56" s="334" t="s">
        <v>321</v>
      </c>
      <c r="D56" s="335"/>
      <c r="E56" s="335"/>
      <c r="F56" s="335"/>
      <c r="G56" s="335"/>
      <c r="H56" s="335"/>
      <c r="I56" s="335"/>
      <c r="J56" s="336"/>
      <c r="K56" s="153" t="s">
        <v>197</v>
      </c>
      <c r="L56" s="293" t="s">
        <v>322</v>
      </c>
    </row>
    <row r="57" spans="2:15" s="22" customFormat="1" ht="21" customHeight="1" x14ac:dyDescent="0.25">
      <c r="B57" s="155" t="s">
        <v>34</v>
      </c>
      <c r="C57" s="155" t="s">
        <v>35</v>
      </c>
      <c r="D57" s="152" t="s">
        <v>36</v>
      </c>
      <c r="E57" s="156" t="s">
        <v>234</v>
      </c>
      <c r="F57" s="157" t="s">
        <v>37</v>
      </c>
      <c r="G57" s="157" t="s">
        <v>200</v>
      </c>
      <c r="H57" s="156" t="s">
        <v>201</v>
      </c>
      <c r="I57" s="156" t="s">
        <v>202</v>
      </c>
      <c r="J57" s="156" t="s">
        <v>38</v>
      </c>
      <c r="K57" s="153"/>
      <c r="L57" s="203" t="s">
        <v>323</v>
      </c>
      <c r="M57" s="158"/>
    </row>
    <row r="58" spans="2:15" ht="19.5" customHeight="1" x14ac:dyDescent="0.25">
      <c r="B58" s="341" t="s">
        <v>324</v>
      </c>
      <c r="C58" s="191" t="s">
        <v>325</v>
      </c>
      <c r="D58" s="30" t="s">
        <v>326</v>
      </c>
      <c r="E58" s="177">
        <v>2</v>
      </c>
      <c r="F58" s="38" t="s">
        <v>207</v>
      </c>
      <c r="G58" s="176" t="s">
        <v>327</v>
      </c>
      <c r="H58" s="161" t="s">
        <v>328</v>
      </c>
      <c r="I58" s="162" t="s">
        <v>266</v>
      </c>
      <c r="J58" s="42"/>
      <c r="K58" s="163"/>
      <c r="L58" s="203" t="s">
        <v>329</v>
      </c>
      <c r="M58" s="22"/>
      <c r="N58" s="164"/>
      <c r="O58" s="22"/>
    </row>
    <row r="59" spans="2:15" ht="19.5" customHeight="1" x14ac:dyDescent="0.25">
      <c r="B59" s="342"/>
      <c r="C59" s="193" t="s">
        <v>330</v>
      </c>
      <c r="D59" s="194" t="s">
        <v>331</v>
      </c>
      <c r="E59" s="195">
        <v>2</v>
      </c>
      <c r="F59" s="39"/>
      <c r="G59" s="181" t="s">
        <v>332</v>
      </c>
      <c r="H59" s="168"/>
      <c r="I59" s="169"/>
      <c r="J59" s="36"/>
      <c r="K59" s="163"/>
      <c r="L59" s="180"/>
      <c r="M59" s="22"/>
      <c r="N59" s="164"/>
      <c r="O59" s="22"/>
    </row>
    <row r="60" spans="2:15" ht="19.5" customHeight="1" x14ac:dyDescent="0.25">
      <c r="B60" s="328"/>
      <c r="C60" s="172" t="s">
        <v>333</v>
      </c>
      <c r="D60" s="31" t="s">
        <v>334</v>
      </c>
      <c r="E60" s="187">
        <v>2</v>
      </c>
      <c r="F60" s="41"/>
      <c r="G60" s="41" t="s">
        <v>335</v>
      </c>
      <c r="H60" s="174"/>
      <c r="I60" s="175"/>
      <c r="J60" s="37"/>
      <c r="K60" s="179"/>
      <c r="L60" s="153"/>
      <c r="M60" s="22"/>
      <c r="N60" s="22"/>
      <c r="O60" s="22"/>
    </row>
    <row r="63" spans="2:15" ht="14.25" customHeight="1" x14ac:dyDescent="0.25">
      <c r="B63" s="204" t="s">
        <v>336</v>
      </c>
      <c r="C63" s="204" t="s">
        <v>337</v>
      </c>
      <c r="D63" s="23" t="s">
        <v>490</v>
      </c>
      <c r="E63" s="205">
        <v>3</v>
      </c>
      <c r="F63" s="153" t="s">
        <v>197</v>
      </c>
      <c r="G63" s="206" t="s">
        <v>489</v>
      </c>
    </row>
  </sheetData>
  <autoFilter ref="B4:J11" xr:uid="{00000000-0009-0000-0000-000001000000}"/>
  <mergeCells count="23">
    <mergeCell ref="B28:B30"/>
    <mergeCell ref="D32:J32"/>
    <mergeCell ref="C33:J33"/>
    <mergeCell ref="B16:B23"/>
    <mergeCell ref="C16:C19"/>
    <mergeCell ref="C21:C22"/>
    <mergeCell ref="D25:J25"/>
    <mergeCell ref="C26:J26"/>
    <mergeCell ref="D2:J2"/>
    <mergeCell ref="C3:J3"/>
    <mergeCell ref="B5:B11"/>
    <mergeCell ref="D13:J13"/>
    <mergeCell ref="C14:J14"/>
    <mergeCell ref="B47:B53"/>
    <mergeCell ref="D55:J55"/>
    <mergeCell ref="C56:J56"/>
    <mergeCell ref="B58:B60"/>
    <mergeCell ref="B35:B36"/>
    <mergeCell ref="D38:J38"/>
    <mergeCell ref="C39:J39"/>
    <mergeCell ref="B41:B42"/>
    <mergeCell ref="D44:J44"/>
    <mergeCell ref="C45:J45"/>
  </mergeCells>
  <phoneticPr fontId="2" type="noConversion"/>
  <hyperlinks>
    <hyperlink ref="L14" r:id="rId1" xr:uid="{15B8562D-133C-4E82-A13F-8B27A1BCD555}"/>
    <hyperlink ref="K16" r:id="rId2" xr:uid="{31A25AF6-C7FF-4F89-AAE2-D741AC069B6A}"/>
    <hyperlink ref="K17" r:id="rId3" xr:uid="{2090FDC4-B6B3-4D36-886F-050F43EA332D}"/>
    <hyperlink ref="K18" r:id="rId4" xr:uid="{78417D62-0005-453A-969E-D1E70DCFB92A}"/>
    <hyperlink ref="K19" r:id="rId5" xr:uid="{D4F2D74F-FAD0-4451-864F-A15A40AA0D6A}"/>
    <hyperlink ref="K20" r:id="rId6" xr:uid="{270E175F-EEF4-46A5-B3FD-A5C6CE61EAAA}"/>
    <hyperlink ref="K23" r:id="rId7" xr:uid="{C6110C23-F662-4FB4-8076-9F9EFE5E1FF9}"/>
    <hyperlink ref="K21" r:id="rId8" xr:uid="{26A84C5E-7D81-42EE-B299-7E76EBC0C0DB}"/>
    <hyperlink ref="K22" r:id="rId9" xr:uid="{7A90EC13-A081-496C-A84E-1F32A25713A3}"/>
    <hyperlink ref="K28" r:id="rId10" xr:uid="{01537C64-6FA5-4565-A999-ADC417C1BA10}"/>
    <hyperlink ref="L26" r:id="rId11" xr:uid="{AC76BE9F-61EA-46BF-8E46-0208A0F95777}"/>
    <hyperlink ref="L3" r:id="rId12" xr:uid="{4834CEA6-7F02-4324-BA3F-78C3CD376245}"/>
    <hyperlink ref="K5" r:id="rId13" xr:uid="{51537B16-527C-4843-997C-035B37799A71}"/>
    <hyperlink ref="K6" r:id="rId14" xr:uid="{B4BA1107-3E2C-4A84-8CBB-F353E88B3C75}"/>
    <hyperlink ref="K7" r:id="rId15" xr:uid="{AFDEE20E-53A2-4094-BE8E-21FE86970888}"/>
    <hyperlink ref="K8" r:id="rId16" xr:uid="{F582A9E5-801C-41FE-B359-10ECBBB5E899}"/>
    <hyperlink ref="K9" r:id="rId17" xr:uid="{05F04199-6D7D-4758-818A-84E069E156BC}"/>
    <hyperlink ref="K10" r:id="rId18" xr:uid="{ABB13A73-4EE4-466E-BE36-AC01D03F45A3}"/>
    <hyperlink ref="K11" r:id="rId19" xr:uid="{9F9F22F5-219E-4F78-8B87-C2964994A638}"/>
    <hyperlink ref="K35" r:id="rId20" xr:uid="{0001668F-F42D-4577-A935-ED16CBA6F522}"/>
    <hyperlink ref="L33" r:id="rId21" xr:uid="{663EFCB8-4765-4CA2-BD4E-4BE464FAB85D}"/>
    <hyperlink ref="K41" r:id="rId22" xr:uid="{E9279F28-69E1-402B-A6E2-57EC8B059D45}"/>
    <hyperlink ref="L56" r:id="rId23" xr:uid="{857204EC-F510-44CE-94A6-8C477236D557}"/>
    <hyperlink ref="L57" r:id="rId24" xr:uid="{4328526A-DF4E-4E75-B5D9-C4DDE4044BA0}"/>
    <hyperlink ref="L58" r:id="rId25" xr:uid="{C3CD0C93-1A32-4190-A136-3C7EDF559444}"/>
    <hyperlink ref="L39" r:id="rId26" xr:uid="{44F0EEB8-B9BD-4A4F-92C0-79631A580476}"/>
    <hyperlink ref="L45" r:id="rId27" xr:uid="{9FE37F15-DBD2-4DD7-9DC0-0868E6F37037}"/>
  </hyperlinks>
  <printOptions horizontalCentered="1"/>
  <pageMargins left="0.11811023622047245" right="0.11811023622047245" top="0.15748031496062992" bottom="0" header="0.31496062992125984" footer="0.31496062992125984"/>
  <pageSetup paperSize="9" scale="62" orientation="landscape" r:id="rId2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6956-C8C1-4659-83D7-C7C234D8C7D1}">
  <dimension ref="B3:C19"/>
  <sheetViews>
    <sheetView zoomScale="110" zoomScaleNormal="110" workbookViewId="0">
      <selection activeCell="C20" sqref="C20"/>
    </sheetView>
  </sheetViews>
  <sheetFormatPr defaultColWidth="9.140625" defaultRowHeight="14.25" customHeight="1" x14ac:dyDescent="0.25"/>
  <cols>
    <col min="1" max="1" width="9.140625" style="1"/>
    <col min="2" max="2" width="6" style="1" customWidth="1"/>
    <col min="3" max="3" width="106.7109375" style="1" bestFit="1" customWidth="1"/>
    <col min="4" max="4" width="44" style="1" customWidth="1"/>
    <col min="5" max="16384" width="9.140625" style="1"/>
  </cols>
  <sheetData>
    <row r="3" spans="2:3" ht="14.25" customHeight="1" x14ac:dyDescent="0.25">
      <c r="B3" s="1" t="s">
        <v>600</v>
      </c>
    </row>
    <row r="4" spans="2:3" ht="14.25" customHeight="1" x14ac:dyDescent="0.25">
      <c r="C4" s="1" t="s">
        <v>601</v>
      </c>
    </row>
    <row r="6" spans="2:3" ht="14.25" customHeight="1" x14ac:dyDescent="0.25">
      <c r="B6" s="1" t="s">
        <v>602</v>
      </c>
    </row>
    <row r="7" spans="2:3" ht="14.25" customHeight="1" x14ac:dyDescent="0.25">
      <c r="C7" s="1" t="s">
        <v>603</v>
      </c>
    </row>
    <row r="9" spans="2:3" ht="14.25" customHeight="1" x14ac:dyDescent="0.25">
      <c r="B9" s="1" t="s">
        <v>476</v>
      </c>
    </row>
    <row r="10" spans="2:3" ht="14.25" customHeight="1" x14ac:dyDescent="0.25">
      <c r="C10" s="1" t="s">
        <v>468</v>
      </c>
    </row>
    <row r="11" spans="2:3" ht="14.25" customHeight="1" x14ac:dyDescent="0.25">
      <c r="C11" s="1" t="s">
        <v>469</v>
      </c>
    </row>
    <row r="12" spans="2:3" ht="14.25" customHeight="1" x14ac:dyDescent="0.25">
      <c r="C12" s="1" t="s">
        <v>470</v>
      </c>
    </row>
    <row r="13" spans="2:3" ht="14.25" customHeight="1" x14ac:dyDescent="0.25">
      <c r="C13" s="1" t="s">
        <v>471</v>
      </c>
    </row>
    <row r="14" spans="2:3" ht="14.25" customHeight="1" x14ac:dyDescent="0.25">
      <c r="C14" s="1" t="s">
        <v>472</v>
      </c>
    </row>
    <row r="15" spans="2:3" ht="14.25" customHeight="1" x14ac:dyDescent="0.25">
      <c r="C15" s="1" t="s">
        <v>473</v>
      </c>
    </row>
    <row r="16" spans="2:3" ht="14.25" customHeight="1" x14ac:dyDescent="0.25">
      <c r="C16" s="1" t="s">
        <v>474</v>
      </c>
    </row>
    <row r="17" spans="2:3" ht="14.25" customHeight="1" x14ac:dyDescent="0.25">
      <c r="C17" s="1" t="s">
        <v>475</v>
      </c>
    </row>
    <row r="19" spans="2:3" ht="14.25" customHeight="1" x14ac:dyDescent="0.25">
      <c r="B19" s="1" t="s">
        <v>604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37BE-B0B5-46E6-9B8B-B8E032A9A232}">
  <dimension ref="B4:B9"/>
  <sheetViews>
    <sheetView showGridLines="0" workbookViewId="0">
      <selection activeCell="E15" sqref="E15"/>
    </sheetView>
  </sheetViews>
  <sheetFormatPr defaultRowHeight="13.5" x14ac:dyDescent="0.25"/>
  <sheetData>
    <row r="4" spans="2:2" x14ac:dyDescent="0.25">
      <c r="B4" t="s">
        <v>130</v>
      </c>
    </row>
    <row r="7" spans="2:2" x14ac:dyDescent="0.25">
      <c r="B7" s="117" t="s">
        <v>132</v>
      </c>
    </row>
    <row r="8" spans="2:2" x14ac:dyDescent="0.25">
      <c r="B8" s="118" t="s">
        <v>131</v>
      </c>
    </row>
    <row r="9" spans="2:2" x14ac:dyDescent="0.25">
      <c r="B9" s="116" t="s">
        <v>129</v>
      </c>
    </row>
  </sheetData>
  <phoneticPr fontId="2" type="noConversion"/>
  <hyperlinks>
    <hyperlink ref="B9" r:id="rId1" xr:uid="{9E80A40F-E0A4-4CEA-8E86-37EBA6105E1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6E00-9E54-4761-BAAA-269AD5E280C8}">
  <dimension ref="A1:N11"/>
  <sheetViews>
    <sheetView showGridLines="0" workbookViewId="0">
      <selection activeCell="C3" sqref="C3"/>
    </sheetView>
  </sheetViews>
  <sheetFormatPr defaultColWidth="9.140625" defaultRowHeight="12.75" outlineLevelCol="1" x14ac:dyDescent="0.25"/>
  <cols>
    <col min="1" max="1" width="5.5703125" style="20" customWidth="1"/>
    <col min="2" max="2" width="4.7109375" style="1" customWidth="1"/>
    <col min="3" max="3" width="45.28515625" style="1" customWidth="1"/>
    <col min="4" max="4" width="10.42578125" style="1" customWidth="1"/>
    <col min="5" max="5" width="7.5703125" style="1" customWidth="1"/>
    <col min="6" max="6" width="6.28515625" style="1" customWidth="1"/>
    <col min="7" max="7" width="6.7109375" style="1" customWidth="1" outlineLevel="1"/>
    <col min="8" max="8" width="4.85546875" style="1" customWidth="1" outlineLevel="1"/>
    <col min="9" max="9" width="15.42578125" style="1" customWidth="1" outlineLevel="1"/>
    <col min="10" max="10" width="20.28515625" style="1" customWidth="1" outlineLevel="1"/>
    <col min="11" max="11" width="56.7109375" style="1" customWidth="1"/>
    <col min="12" max="12" width="2.5703125" style="1" customWidth="1"/>
    <col min="13" max="13" width="57.7109375" style="1" customWidth="1"/>
    <col min="14" max="14" width="57.7109375" style="1" hidden="1" customWidth="1"/>
    <col min="15" max="16384" width="9.140625" style="1"/>
  </cols>
  <sheetData>
    <row r="1" spans="2:14" ht="19.5" customHeight="1" x14ac:dyDescent="0.25"/>
    <row r="2" spans="2:14" ht="28.5" customHeight="1" x14ac:dyDescent="0.25">
      <c r="B2" s="3" t="s">
        <v>11</v>
      </c>
      <c r="C2" s="3" t="s">
        <v>5</v>
      </c>
      <c r="D2" s="7" t="s">
        <v>27</v>
      </c>
      <c r="E2" s="7" t="s">
        <v>22</v>
      </c>
      <c r="F2" s="7" t="s">
        <v>23</v>
      </c>
      <c r="G2" s="349" t="s">
        <v>44</v>
      </c>
      <c r="H2" s="350"/>
      <c r="I2" s="349" t="s">
        <v>0</v>
      </c>
      <c r="J2" s="350"/>
      <c r="K2" s="3" t="s">
        <v>59</v>
      </c>
      <c r="M2" s="48" t="s">
        <v>58</v>
      </c>
      <c r="N2" s="47" t="s">
        <v>51</v>
      </c>
    </row>
    <row r="3" spans="2:14" ht="33.75" customHeight="1" x14ac:dyDescent="0.25">
      <c r="B3" s="6">
        <v>1</v>
      </c>
      <c r="C3" s="6" t="s">
        <v>12</v>
      </c>
      <c r="D3" s="17" t="s">
        <v>28</v>
      </c>
      <c r="E3" s="15" t="s">
        <v>43</v>
      </c>
      <c r="F3" s="12">
        <v>0.6</v>
      </c>
      <c r="G3" s="45" t="s">
        <v>13</v>
      </c>
      <c r="H3" s="43" t="s">
        <v>20</v>
      </c>
      <c r="I3" s="8" t="s">
        <v>14</v>
      </c>
      <c r="J3" s="9" t="s">
        <v>19</v>
      </c>
      <c r="K3" s="2" t="s">
        <v>62</v>
      </c>
      <c r="M3" s="11" t="s">
        <v>52</v>
      </c>
      <c r="N3" s="11" t="s">
        <v>42</v>
      </c>
    </row>
    <row r="4" spans="2:14" ht="33.75" customHeight="1" x14ac:dyDescent="0.25">
      <c r="B4" s="49">
        <v>2</v>
      </c>
      <c r="C4" s="49" t="s">
        <v>15</v>
      </c>
      <c r="D4" s="50" t="s">
        <v>28</v>
      </c>
      <c r="E4" s="51" t="s">
        <v>43</v>
      </c>
      <c r="F4" s="52">
        <v>0.2</v>
      </c>
      <c r="G4" s="46" t="s">
        <v>16</v>
      </c>
      <c r="H4" s="44" t="s">
        <v>17</v>
      </c>
      <c r="I4" s="32" t="s">
        <v>18</v>
      </c>
      <c r="J4" s="33" t="s">
        <v>21</v>
      </c>
      <c r="K4" s="34" t="s">
        <v>60</v>
      </c>
      <c r="M4" s="11" t="s">
        <v>53</v>
      </c>
      <c r="N4" s="11" t="s">
        <v>42</v>
      </c>
    </row>
    <row r="5" spans="2:14" ht="33.75" hidden="1" customHeight="1" x14ac:dyDescent="0.25">
      <c r="B5" s="6">
        <v>3</v>
      </c>
      <c r="C5" s="2" t="s">
        <v>3</v>
      </c>
      <c r="D5" s="18" t="s">
        <v>28</v>
      </c>
      <c r="E5" s="10" t="s">
        <v>24</v>
      </c>
      <c r="F5" s="13">
        <v>4</v>
      </c>
      <c r="G5" s="45" t="s">
        <v>1</v>
      </c>
      <c r="H5" s="43" t="s">
        <v>17</v>
      </c>
      <c r="I5" s="4" t="s">
        <v>2</v>
      </c>
      <c r="J5" s="5" t="s">
        <v>4</v>
      </c>
      <c r="K5" s="19" t="s">
        <v>40</v>
      </c>
      <c r="M5" s="14" t="s">
        <v>54</v>
      </c>
      <c r="N5" s="14" t="s">
        <v>45</v>
      </c>
    </row>
    <row r="6" spans="2:14" ht="33.75" customHeight="1" x14ac:dyDescent="0.25">
      <c r="B6" s="6">
        <v>3</v>
      </c>
      <c r="C6" s="2" t="s">
        <v>3</v>
      </c>
      <c r="D6" s="18" t="s">
        <v>28</v>
      </c>
      <c r="E6" s="10" t="s">
        <v>43</v>
      </c>
      <c r="F6" s="13">
        <v>2.5</v>
      </c>
      <c r="G6" s="45" t="s">
        <v>1</v>
      </c>
      <c r="H6" s="43" t="s">
        <v>17</v>
      </c>
      <c r="I6" s="4" t="s">
        <v>2</v>
      </c>
      <c r="J6" s="5" t="s">
        <v>4</v>
      </c>
      <c r="K6" s="19" t="s">
        <v>63</v>
      </c>
      <c r="M6" s="14" t="s">
        <v>54</v>
      </c>
      <c r="N6" s="14" t="s">
        <v>46</v>
      </c>
    </row>
    <row r="7" spans="2:14" ht="33.75" customHeight="1" x14ac:dyDescent="0.25">
      <c r="B7" s="6">
        <v>4</v>
      </c>
      <c r="C7" s="2" t="s">
        <v>39</v>
      </c>
      <c r="D7" s="18" t="s">
        <v>30</v>
      </c>
      <c r="E7" s="10" t="s">
        <v>25</v>
      </c>
      <c r="F7" s="16">
        <v>3.5</v>
      </c>
      <c r="G7" s="45" t="s">
        <v>7</v>
      </c>
      <c r="H7" s="43" t="s">
        <v>17</v>
      </c>
      <c r="I7" s="4" t="s">
        <v>8</v>
      </c>
      <c r="J7" s="5" t="s">
        <v>9</v>
      </c>
      <c r="K7" s="19" t="s">
        <v>64</v>
      </c>
      <c r="M7" s="1" t="s">
        <v>55</v>
      </c>
      <c r="N7" s="1" t="s">
        <v>47</v>
      </c>
    </row>
    <row r="8" spans="2:14" ht="33.75" customHeight="1" x14ac:dyDescent="0.25">
      <c r="B8" s="49">
        <v>5</v>
      </c>
      <c r="C8" s="34" t="s">
        <v>65</v>
      </c>
      <c r="D8" s="53" t="s">
        <v>32</v>
      </c>
      <c r="E8" s="54" t="s">
        <v>25</v>
      </c>
      <c r="F8" s="54" t="s">
        <v>26</v>
      </c>
      <c r="G8" s="46" t="s">
        <v>10</v>
      </c>
      <c r="H8" s="44"/>
      <c r="I8" s="55"/>
      <c r="J8" s="56"/>
      <c r="K8" s="34" t="s">
        <v>67</v>
      </c>
      <c r="M8" s="11" t="s">
        <v>56</v>
      </c>
      <c r="N8" s="1" t="s">
        <v>48</v>
      </c>
    </row>
    <row r="9" spans="2:14" ht="33.75" customHeight="1" x14ac:dyDescent="0.25">
      <c r="B9" s="49">
        <v>6</v>
      </c>
      <c r="C9" s="34" t="s">
        <v>66</v>
      </c>
      <c r="D9" s="53" t="s">
        <v>31</v>
      </c>
      <c r="E9" s="54" t="s">
        <v>25</v>
      </c>
      <c r="F9" s="54" t="s">
        <v>26</v>
      </c>
      <c r="G9" s="46" t="s">
        <v>10</v>
      </c>
      <c r="H9" s="44"/>
      <c r="I9" s="55"/>
      <c r="J9" s="56"/>
      <c r="K9" s="34" t="s">
        <v>67</v>
      </c>
      <c r="M9" s="11" t="s">
        <v>56</v>
      </c>
      <c r="N9" s="1" t="s">
        <v>48</v>
      </c>
    </row>
    <row r="10" spans="2:14" ht="33.75" customHeight="1" x14ac:dyDescent="0.25">
      <c r="B10" s="2">
        <v>7</v>
      </c>
      <c r="C10" s="2" t="s">
        <v>6</v>
      </c>
      <c r="D10" s="18" t="s">
        <v>29</v>
      </c>
      <c r="E10" s="10" t="s">
        <v>24</v>
      </c>
      <c r="F10" s="13">
        <v>2.5</v>
      </c>
      <c r="G10" s="45" t="s">
        <v>7</v>
      </c>
      <c r="H10" s="43" t="s">
        <v>17</v>
      </c>
      <c r="I10" s="4" t="s">
        <v>8</v>
      </c>
      <c r="J10" s="5" t="s">
        <v>9</v>
      </c>
      <c r="K10" s="19" t="s">
        <v>49</v>
      </c>
      <c r="M10" s="14" t="s">
        <v>57</v>
      </c>
      <c r="N10" s="14" t="s">
        <v>50</v>
      </c>
    </row>
    <row r="11" spans="2:14" x14ac:dyDescent="0.25">
      <c r="C11" s="1" t="s">
        <v>61</v>
      </c>
    </row>
  </sheetData>
  <mergeCells count="2">
    <mergeCell ref="G2:H2"/>
    <mergeCell ref="I2:J2"/>
  </mergeCells>
  <phoneticPr fontId="2" type="noConversion"/>
  <printOptions horizontalCentered="1"/>
  <pageMargins left="0.31496062992125984" right="0.31496062992125984" top="0.55118110236220474" bottom="0.35433070866141736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C921-FEE1-49CE-8F28-8C1584AD57A7}">
  <sheetPr>
    <pageSetUpPr fitToPage="1"/>
  </sheetPr>
  <dimension ref="B1:J34"/>
  <sheetViews>
    <sheetView showGridLines="0" zoomScaleNormal="100" workbookViewId="0">
      <pane ySplit="3" topLeftCell="A8" activePane="bottomLeft" state="frozen"/>
      <selection activeCell="B16" sqref="B16:B23"/>
      <selection pane="bottomLeft" activeCell="C22" sqref="C22"/>
    </sheetView>
  </sheetViews>
  <sheetFormatPr defaultColWidth="9.140625" defaultRowHeight="14.25" customHeight="1" x14ac:dyDescent="0.25"/>
  <cols>
    <col min="1" max="1" width="1.85546875" style="21" customWidth="1"/>
    <col min="2" max="2" width="23.7109375" style="21" customWidth="1"/>
    <col min="3" max="3" width="34.7109375" style="23" customWidth="1"/>
    <col min="4" max="4" width="63.5703125" style="23" customWidth="1"/>
    <col min="5" max="5" width="8" style="24" customWidth="1"/>
    <col min="6" max="6" width="10.7109375" style="25" customWidth="1"/>
    <col min="7" max="7" width="4.7109375" style="25" customWidth="1"/>
    <col min="8" max="8" width="12.42578125" style="25" customWidth="1"/>
    <col min="9" max="9" width="11.7109375" style="25" customWidth="1"/>
    <col min="10" max="10" width="21.42578125" style="25" customWidth="1"/>
    <col min="11" max="16384" width="9.140625" style="21"/>
  </cols>
  <sheetData>
    <row r="1" spans="2:10" ht="21" customHeight="1" x14ac:dyDescent="0.25">
      <c r="B1" s="26" t="s">
        <v>68</v>
      </c>
      <c r="C1" s="329" t="s">
        <v>97</v>
      </c>
      <c r="D1" s="339"/>
      <c r="E1" s="339"/>
      <c r="F1" s="339"/>
      <c r="G1" s="339"/>
      <c r="H1" s="339"/>
      <c r="I1" s="339"/>
      <c r="J1" s="340"/>
    </row>
    <row r="2" spans="2:10" ht="21" customHeight="1" x14ac:dyDescent="0.25">
      <c r="B2" s="26" t="s">
        <v>33</v>
      </c>
      <c r="C2" s="334" t="s">
        <v>120</v>
      </c>
      <c r="D2" s="335"/>
      <c r="E2" s="335"/>
      <c r="F2" s="335"/>
      <c r="G2" s="335"/>
      <c r="H2" s="335"/>
      <c r="I2" s="335"/>
      <c r="J2" s="336"/>
    </row>
    <row r="3" spans="2:10" s="22" customFormat="1" ht="21" customHeight="1" x14ac:dyDescent="0.25">
      <c r="B3" s="27" t="s">
        <v>34</v>
      </c>
      <c r="C3" s="27" t="s">
        <v>35</v>
      </c>
      <c r="D3" s="26" t="s">
        <v>36</v>
      </c>
      <c r="E3" s="28" t="s">
        <v>85</v>
      </c>
      <c r="F3" s="337" t="s">
        <v>86</v>
      </c>
      <c r="G3" s="338"/>
      <c r="H3" s="29" t="s">
        <v>37</v>
      </c>
      <c r="I3" s="28" t="s">
        <v>76</v>
      </c>
      <c r="J3" s="28" t="s">
        <v>38</v>
      </c>
    </row>
    <row r="4" spans="2:10" ht="16.5" customHeight="1" x14ac:dyDescent="0.25">
      <c r="B4" s="326" t="s">
        <v>121</v>
      </c>
      <c r="C4" s="57" t="s">
        <v>69</v>
      </c>
      <c r="D4" s="30" t="s">
        <v>71</v>
      </c>
      <c r="E4" s="59">
        <v>3</v>
      </c>
      <c r="F4" s="67" t="s">
        <v>75</v>
      </c>
      <c r="G4" s="65">
        <v>2</v>
      </c>
      <c r="H4" s="63" t="s">
        <v>73</v>
      </c>
      <c r="I4" s="69" t="s">
        <v>84</v>
      </c>
      <c r="J4" s="64"/>
    </row>
    <row r="5" spans="2:10" ht="16.5" customHeight="1" x14ac:dyDescent="0.25">
      <c r="B5" s="327"/>
      <c r="C5" s="76" t="s">
        <v>70</v>
      </c>
      <c r="D5" s="40" t="s">
        <v>77</v>
      </c>
      <c r="E5" s="77">
        <v>5</v>
      </c>
      <c r="F5" s="78" t="s">
        <v>75</v>
      </c>
      <c r="G5" s="79">
        <v>1</v>
      </c>
      <c r="H5" s="80" t="s">
        <v>73</v>
      </c>
      <c r="I5" s="81" t="s">
        <v>84</v>
      </c>
      <c r="J5" s="82"/>
    </row>
    <row r="6" spans="2:10" ht="16.5" customHeight="1" x14ac:dyDescent="0.25">
      <c r="B6" s="327"/>
      <c r="C6" s="83"/>
      <c r="D6" s="84" t="s">
        <v>78</v>
      </c>
      <c r="E6" s="85">
        <v>5</v>
      </c>
      <c r="F6" s="86" t="s">
        <v>75</v>
      </c>
      <c r="G6" s="87">
        <v>1</v>
      </c>
      <c r="H6" s="39" t="s">
        <v>73</v>
      </c>
      <c r="I6" s="88" t="s">
        <v>84</v>
      </c>
      <c r="J6" s="36"/>
    </row>
    <row r="7" spans="2:10" ht="16.5" customHeight="1" x14ac:dyDescent="0.25">
      <c r="B7" s="327"/>
      <c r="C7" s="83"/>
      <c r="D7" s="84" t="s">
        <v>79</v>
      </c>
      <c r="E7" s="85">
        <v>5</v>
      </c>
      <c r="F7" s="86" t="s">
        <v>75</v>
      </c>
      <c r="G7" s="87">
        <v>1</v>
      </c>
      <c r="H7" s="39" t="s">
        <v>73</v>
      </c>
      <c r="I7" s="88" t="s">
        <v>84</v>
      </c>
      <c r="J7" s="36"/>
    </row>
    <row r="8" spans="2:10" ht="16.5" customHeight="1" x14ac:dyDescent="0.25">
      <c r="B8" s="327"/>
      <c r="C8" s="61"/>
      <c r="D8" s="35" t="s">
        <v>80</v>
      </c>
      <c r="E8" s="62">
        <v>5</v>
      </c>
      <c r="F8" s="71" t="s">
        <v>75</v>
      </c>
      <c r="G8" s="72">
        <v>1</v>
      </c>
      <c r="H8" s="73" t="s">
        <v>73</v>
      </c>
      <c r="I8" s="74" t="s">
        <v>84</v>
      </c>
      <c r="J8" s="75"/>
    </row>
    <row r="9" spans="2:10" ht="16.5" customHeight="1" x14ac:dyDescent="0.25">
      <c r="B9" s="328"/>
      <c r="C9" s="58" t="s">
        <v>83</v>
      </c>
      <c r="D9" s="31" t="s">
        <v>82</v>
      </c>
      <c r="E9" s="60">
        <v>2</v>
      </c>
      <c r="F9" s="68" t="s">
        <v>75</v>
      </c>
      <c r="G9" s="66">
        <v>2</v>
      </c>
      <c r="H9" s="41" t="s">
        <v>73</v>
      </c>
      <c r="I9" s="70" t="s">
        <v>84</v>
      </c>
      <c r="J9" s="37"/>
    </row>
    <row r="10" spans="2:10" ht="16.5" customHeight="1" x14ac:dyDescent="0.25">
      <c r="B10" s="326" t="s">
        <v>122</v>
      </c>
      <c r="C10" s="89" t="s">
        <v>87</v>
      </c>
      <c r="D10" s="90" t="s">
        <v>89</v>
      </c>
      <c r="E10" s="91">
        <v>5</v>
      </c>
      <c r="F10" s="92" t="s">
        <v>75</v>
      </c>
      <c r="G10" s="93">
        <v>1</v>
      </c>
      <c r="H10" s="38" t="s">
        <v>73</v>
      </c>
      <c r="I10" s="94" t="s">
        <v>84</v>
      </c>
      <c r="J10" s="42"/>
    </row>
    <row r="11" spans="2:10" ht="16.5" customHeight="1" x14ac:dyDescent="0.25">
      <c r="B11" s="327"/>
      <c r="C11" s="83"/>
      <c r="D11" s="84" t="s">
        <v>90</v>
      </c>
      <c r="E11" s="85">
        <v>5</v>
      </c>
      <c r="F11" s="86" t="s">
        <v>75</v>
      </c>
      <c r="G11" s="87">
        <v>2</v>
      </c>
      <c r="H11" s="39" t="s">
        <v>73</v>
      </c>
      <c r="I11" s="88" t="s">
        <v>84</v>
      </c>
      <c r="J11" s="36"/>
    </row>
    <row r="12" spans="2:10" ht="16.5" customHeight="1" x14ac:dyDescent="0.25">
      <c r="B12" s="327"/>
      <c r="C12" s="83"/>
      <c r="D12" s="84" t="s">
        <v>91</v>
      </c>
      <c r="E12" s="85">
        <v>5</v>
      </c>
      <c r="F12" s="86" t="s">
        <v>75</v>
      </c>
      <c r="G12" s="87">
        <v>2</v>
      </c>
      <c r="H12" s="39" t="s">
        <v>73</v>
      </c>
      <c r="I12" s="88" t="s">
        <v>84</v>
      </c>
      <c r="J12" s="36"/>
    </row>
    <row r="13" spans="2:10" ht="16.5" customHeight="1" x14ac:dyDescent="0.25">
      <c r="B13" s="327"/>
      <c r="C13" s="83"/>
      <c r="D13" s="84" t="s">
        <v>92</v>
      </c>
      <c r="E13" s="85">
        <v>5</v>
      </c>
      <c r="F13" s="86" t="s">
        <v>75</v>
      </c>
      <c r="G13" s="87">
        <v>1</v>
      </c>
      <c r="H13" s="39" t="s">
        <v>73</v>
      </c>
      <c r="I13" s="88" t="s">
        <v>84</v>
      </c>
      <c r="J13" s="36"/>
    </row>
    <row r="14" spans="2:10" ht="16.5" customHeight="1" x14ac:dyDescent="0.25">
      <c r="B14" s="327"/>
      <c r="C14" s="83"/>
      <c r="D14" s="84" t="s">
        <v>93</v>
      </c>
      <c r="E14" s="85">
        <v>10</v>
      </c>
      <c r="F14" s="86" t="s">
        <v>75</v>
      </c>
      <c r="G14" s="87">
        <v>5</v>
      </c>
      <c r="H14" s="39" t="s">
        <v>73</v>
      </c>
      <c r="I14" s="88" t="s">
        <v>84</v>
      </c>
      <c r="J14" s="36"/>
    </row>
    <row r="15" spans="2:10" ht="16.5" customHeight="1" x14ac:dyDescent="0.25">
      <c r="B15" s="327"/>
      <c r="C15" s="95"/>
      <c r="D15" s="96" t="s">
        <v>94</v>
      </c>
      <c r="E15" s="97">
        <v>5</v>
      </c>
      <c r="F15" s="71" t="s">
        <v>75</v>
      </c>
      <c r="G15" s="72">
        <v>1</v>
      </c>
      <c r="H15" s="73" t="s">
        <v>73</v>
      </c>
      <c r="I15" s="74" t="s">
        <v>84</v>
      </c>
      <c r="J15" s="75"/>
    </row>
    <row r="16" spans="2:10" ht="16.5" customHeight="1" x14ac:dyDescent="0.25">
      <c r="B16" s="327"/>
      <c r="C16" s="83" t="s">
        <v>88</v>
      </c>
      <c r="D16" s="84" t="s">
        <v>95</v>
      </c>
      <c r="E16" s="85">
        <v>5</v>
      </c>
      <c r="F16" s="86" t="s">
        <v>75</v>
      </c>
      <c r="G16" s="87">
        <v>2</v>
      </c>
      <c r="H16" s="39" t="s">
        <v>73</v>
      </c>
      <c r="I16" s="88" t="s">
        <v>84</v>
      </c>
      <c r="J16" s="36"/>
    </row>
    <row r="17" spans="2:10" ht="16.5" customHeight="1" x14ac:dyDescent="0.25">
      <c r="B17" s="327"/>
      <c r="C17" s="61"/>
      <c r="D17" s="35" t="s">
        <v>96</v>
      </c>
      <c r="E17" s="62">
        <v>5</v>
      </c>
      <c r="F17" s="71" t="s">
        <v>75</v>
      </c>
      <c r="G17" s="72">
        <v>2</v>
      </c>
      <c r="H17" s="73" t="s">
        <v>73</v>
      </c>
      <c r="I17" s="74" t="s">
        <v>84</v>
      </c>
      <c r="J17" s="75"/>
    </row>
    <row r="18" spans="2:10" ht="16.5" customHeight="1" x14ac:dyDescent="0.25">
      <c r="B18" s="328"/>
      <c r="C18" s="58" t="s">
        <v>83</v>
      </c>
      <c r="D18" s="31" t="s">
        <v>110</v>
      </c>
      <c r="E18" s="60">
        <v>5</v>
      </c>
      <c r="F18" s="68" t="s">
        <v>75</v>
      </c>
      <c r="G18" s="66">
        <v>5</v>
      </c>
      <c r="H18" s="41" t="s">
        <v>73</v>
      </c>
      <c r="I18" s="70" t="s">
        <v>84</v>
      </c>
      <c r="J18" s="37"/>
    </row>
    <row r="19" spans="2:10" ht="16.5" customHeight="1" x14ac:dyDescent="0.25">
      <c r="B19" s="326" t="s">
        <v>98</v>
      </c>
      <c r="C19" s="98" t="s">
        <v>99</v>
      </c>
      <c r="D19" s="99" t="s">
        <v>103</v>
      </c>
      <c r="E19" s="100">
        <v>5</v>
      </c>
      <c r="F19" s="67" t="s">
        <v>75</v>
      </c>
      <c r="G19" s="65">
        <v>1</v>
      </c>
      <c r="H19" s="63" t="s">
        <v>73</v>
      </c>
      <c r="I19" s="69" t="s">
        <v>84</v>
      </c>
      <c r="J19" s="64"/>
    </row>
    <row r="20" spans="2:10" ht="16.5" customHeight="1" x14ac:dyDescent="0.25">
      <c r="B20" s="327"/>
      <c r="C20" s="61" t="s">
        <v>100</v>
      </c>
      <c r="D20" s="35" t="s">
        <v>108</v>
      </c>
      <c r="E20" s="62">
        <v>10</v>
      </c>
      <c r="F20" s="71" t="s">
        <v>74</v>
      </c>
      <c r="G20" s="72">
        <v>7</v>
      </c>
      <c r="H20" s="73" t="s">
        <v>72</v>
      </c>
      <c r="I20" s="74" t="s">
        <v>41</v>
      </c>
      <c r="J20" s="75"/>
    </row>
    <row r="21" spans="2:10" ht="16.5" customHeight="1" x14ac:dyDescent="0.25">
      <c r="B21" s="327"/>
      <c r="C21" s="83" t="s">
        <v>101</v>
      </c>
      <c r="D21" s="84" t="s">
        <v>104</v>
      </c>
      <c r="E21" s="85">
        <v>5</v>
      </c>
      <c r="F21" s="86" t="s">
        <v>74</v>
      </c>
      <c r="G21" s="87">
        <v>1</v>
      </c>
      <c r="H21" s="39" t="s">
        <v>73</v>
      </c>
      <c r="I21" s="88" t="s">
        <v>84</v>
      </c>
      <c r="J21" s="36"/>
    </row>
    <row r="22" spans="2:10" ht="16.5" customHeight="1" x14ac:dyDescent="0.25">
      <c r="B22" s="327"/>
      <c r="C22" s="83"/>
      <c r="D22" s="84" t="s">
        <v>105</v>
      </c>
      <c r="E22" s="85">
        <v>5</v>
      </c>
      <c r="F22" s="86" t="s">
        <v>74</v>
      </c>
      <c r="G22" s="87">
        <v>3</v>
      </c>
      <c r="H22" s="39" t="s">
        <v>73</v>
      </c>
      <c r="I22" s="88" t="s">
        <v>84</v>
      </c>
      <c r="J22" s="36"/>
    </row>
    <row r="23" spans="2:10" ht="16.5" customHeight="1" x14ac:dyDescent="0.25">
      <c r="B23" s="327"/>
      <c r="C23" s="83"/>
      <c r="D23" s="84" t="s">
        <v>106</v>
      </c>
      <c r="E23" s="85">
        <v>5</v>
      </c>
      <c r="F23" s="86" t="s">
        <v>74</v>
      </c>
      <c r="G23" s="87">
        <v>1</v>
      </c>
      <c r="H23" s="39" t="s">
        <v>73</v>
      </c>
      <c r="I23" s="88" t="s">
        <v>84</v>
      </c>
      <c r="J23" s="36"/>
    </row>
    <row r="24" spans="2:10" ht="16.5" customHeight="1" x14ac:dyDescent="0.25">
      <c r="B24" s="327"/>
      <c r="C24" s="61"/>
      <c r="D24" s="35" t="s">
        <v>107</v>
      </c>
      <c r="E24" s="62">
        <v>5</v>
      </c>
      <c r="F24" s="71" t="s">
        <v>74</v>
      </c>
      <c r="G24" s="72">
        <v>1</v>
      </c>
      <c r="H24" s="73" t="s">
        <v>73</v>
      </c>
      <c r="I24" s="74" t="s">
        <v>84</v>
      </c>
      <c r="J24" s="75"/>
    </row>
    <row r="25" spans="2:10" ht="16.5" customHeight="1" x14ac:dyDescent="0.25">
      <c r="B25" s="327"/>
      <c r="C25" s="83" t="s">
        <v>102</v>
      </c>
      <c r="D25" s="84" t="s">
        <v>109</v>
      </c>
      <c r="E25" s="85">
        <v>10</v>
      </c>
      <c r="F25" s="71" t="s">
        <v>75</v>
      </c>
      <c r="G25" s="72">
        <v>1</v>
      </c>
      <c r="H25" s="73" t="s">
        <v>73</v>
      </c>
      <c r="I25" s="74" t="s">
        <v>84</v>
      </c>
      <c r="J25" s="75"/>
    </row>
    <row r="26" spans="2:10" ht="16.5" customHeight="1" x14ac:dyDescent="0.25">
      <c r="B26" s="328"/>
      <c r="C26" s="58" t="s">
        <v>83</v>
      </c>
      <c r="D26" s="31" t="s">
        <v>81</v>
      </c>
      <c r="E26" s="60">
        <v>5</v>
      </c>
      <c r="F26" s="68" t="s">
        <v>75</v>
      </c>
      <c r="G26" s="66">
        <v>1</v>
      </c>
      <c r="H26" s="41" t="s">
        <v>73</v>
      </c>
      <c r="I26" s="70" t="s">
        <v>84</v>
      </c>
      <c r="J26" s="37"/>
    </row>
    <row r="27" spans="2:10" ht="16.5" customHeight="1" x14ac:dyDescent="0.25">
      <c r="B27" s="326" t="s">
        <v>124</v>
      </c>
      <c r="C27" s="98" t="s">
        <v>118</v>
      </c>
      <c r="D27" s="99" t="s">
        <v>125</v>
      </c>
      <c r="E27" s="100">
        <v>2</v>
      </c>
      <c r="F27" s="67" t="s">
        <v>75</v>
      </c>
      <c r="G27" s="65">
        <v>2</v>
      </c>
      <c r="H27" s="63" t="s">
        <v>73</v>
      </c>
      <c r="I27" s="69" t="s">
        <v>84</v>
      </c>
      <c r="J27" s="64"/>
    </row>
    <row r="28" spans="2:10" ht="16.5" customHeight="1" x14ac:dyDescent="0.25">
      <c r="B28" s="327"/>
      <c r="C28" s="83" t="s">
        <v>119</v>
      </c>
      <c r="D28" s="101" t="s">
        <v>111</v>
      </c>
      <c r="E28" s="102">
        <v>10</v>
      </c>
      <c r="F28" s="78" t="s">
        <v>74</v>
      </c>
      <c r="G28" s="79">
        <v>1</v>
      </c>
      <c r="H28" s="80" t="s">
        <v>123</v>
      </c>
      <c r="I28" s="81" t="s">
        <v>41</v>
      </c>
      <c r="J28" s="82"/>
    </row>
    <row r="29" spans="2:10" ht="16.5" customHeight="1" x14ac:dyDescent="0.25">
      <c r="B29" s="327"/>
      <c r="C29" s="83"/>
      <c r="D29" s="84" t="s">
        <v>112</v>
      </c>
      <c r="E29" s="85">
        <v>10</v>
      </c>
      <c r="F29" s="86" t="s">
        <v>74</v>
      </c>
      <c r="G29" s="87">
        <v>1</v>
      </c>
      <c r="H29" s="39" t="s">
        <v>123</v>
      </c>
      <c r="I29" s="88" t="s">
        <v>84</v>
      </c>
      <c r="J29" s="36"/>
    </row>
    <row r="30" spans="2:10" ht="16.5" customHeight="1" x14ac:dyDescent="0.25">
      <c r="B30" s="327"/>
      <c r="C30" s="83"/>
      <c r="D30" s="84" t="s">
        <v>113</v>
      </c>
      <c r="E30" s="85">
        <v>10</v>
      </c>
      <c r="F30" s="86" t="s">
        <v>74</v>
      </c>
      <c r="G30" s="87">
        <v>1</v>
      </c>
      <c r="H30" s="39" t="s">
        <v>123</v>
      </c>
      <c r="I30" s="88" t="s">
        <v>84</v>
      </c>
      <c r="J30" s="36"/>
    </row>
    <row r="31" spans="2:10" ht="16.5" customHeight="1" x14ac:dyDescent="0.25">
      <c r="B31" s="327"/>
      <c r="C31" s="83"/>
      <c r="D31" s="84" t="s">
        <v>114</v>
      </c>
      <c r="E31" s="85">
        <v>10</v>
      </c>
      <c r="F31" s="86" t="s">
        <v>74</v>
      </c>
      <c r="G31" s="87">
        <v>1</v>
      </c>
      <c r="H31" s="39" t="s">
        <v>123</v>
      </c>
      <c r="I31" s="88" t="s">
        <v>84</v>
      </c>
      <c r="J31" s="36"/>
    </row>
    <row r="32" spans="2:10" ht="16.5" customHeight="1" x14ac:dyDescent="0.25">
      <c r="B32" s="327"/>
      <c r="C32" s="83"/>
      <c r="D32" s="84" t="s">
        <v>115</v>
      </c>
      <c r="E32" s="85">
        <v>10</v>
      </c>
      <c r="F32" s="86" t="s">
        <v>74</v>
      </c>
      <c r="G32" s="87">
        <v>1</v>
      </c>
      <c r="H32" s="39" t="s">
        <v>123</v>
      </c>
      <c r="I32" s="88" t="s">
        <v>84</v>
      </c>
      <c r="J32" s="36"/>
    </row>
    <row r="33" spans="2:10" ht="16.5" customHeight="1" x14ac:dyDescent="0.25">
      <c r="B33" s="327"/>
      <c r="C33" s="83"/>
      <c r="D33" s="84" t="s">
        <v>116</v>
      </c>
      <c r="E33" s="85">
        <v>10</v>
      </c>
      <c r="F33" s="71" t="s">
        <v>75</v>
      </c>
      <c r="G33" s="72">
        <v>1</v>
      </c>
      <c r="H33" s="73" t="s">
        <v>123</v>
      </c>
      <c r="I33" s="74" t="s">
        <v>84</v>
      </c>
      <c r="J33" s="75"/>
    </row>
    <row r="34" spans="2:10" ht="16.5" customHeight="1" x14ac:dyDescent="0.25">
      <c r="B34" s="328"/>
      <c r="C34" s="58" t="s">
        <v>83</v>
      </c>
      <c r="D34" s="31" t="s">
        <v>117</v>
      </c>
      <c r="E34" s="60">
        <v>3</v>
      </c>
      <c r="F34" s="68" t="s">
        <v>75</v>
      </c>
      <c r="G34" s="66">
        <v>4</v>
      </c>
      <c r="H34" s="41" t="s">
        <v>73</v>
      </c>
      <c r="I34" s="70" t="s">
        <v>84</v>
      </c>
      <c r="J34" s="37"/>
    </row>
  </sheetData>
  <autoFilter ref="B3:J9" xr:uid="{00000000-0009-0000-0000-000001000000}"/>
  <mergeCells count="7">
    <mergeCell ref="B27:B34"/>
    <mergeCell ref="C1:J1"/>
    <mergeCell ref="C2:J2"/>
    <mergeCell ref="F3:G3"/>
    <mergeCell ref="B4:B9"/>
    <mergeCell ref="B10:B18"/>
    <mergeCell ref="B19:B26"/>
  </mergeCells>
  <phoneticPr fontId="2" type="noConversion"/>
  <printOptions horizontalCentered="1"/>
  <pageMargins left="0.11811023622047245" right="0.11811023622047245" top="0.15748031496062992" bottom="0" header="0.31496062992125984" footer="0.31496062992125984"/>
  <pageSetup paperSize="9" scale="77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11</vt:i4>
      </vt:variant>
    </vt:vector>
  </HeadingPairs>
  <TitlesOfParts>
    <vt:vector size="21" baseType="lpstr">
      <vt:lpstr>0.일정</vt:lpstr>
      <vt:lpstr>1.Lesson Plan_작성용</vt:lpstr>
      <vt:lpstr>자료</vt:lpstr>
      <vt:lpstr>Lesson Plan_예시</vt:lpstr>
      <vt:lpstr>예시_오토</vt:lpstr>
      <vt:lpstr>참고.교재영상목록</vt:lpstr>
      <vt:lpstr>주요소통</vt:lpstr>
      <vt:lpstr>참고.영상</vt:lpstr>
      <vt:lpstr>과정및개요 (2)</vt:lpstr>
      <vt:lpstr>1.Lesson Plan (2)</vt:lpstr>
      <vt:lpstr>'1.Lesson Plan (2)'!Print_Area</vt:lpstr>
      <vt:lpstr>'1.Lesson Plan_작성용'!Print_Area</vt:lpstr>
      <vt:lpstr>'Lesson Plan_예시'!Print_Area</vt:lpstr>
      <vt:lpstr>'과정및개요 (2)'!Print_Area</vt:lpstr>
      <vt:lpstr>예시_오토!Print_Area</vt:lpstr>
      <vt:lpstr>참고.교재영상목록!Print_Area</vt:lpstr>
      <vt:lpstr>'1.Lesson Plan (2)'!Print_Titles</vt:lpstr>
      <vt:lpstr>'1.Lesson Plan_작성용'!Print_Titles</vt:lpstr>
      <vt:lpstr>'Lesson Plan_예시'!Print_Titles</vt:lpstr>
      <vt:lpstr>예시_오토!Print_Titles</vt:lpstr>
      <vt:lpstr>참고.교재영상목록!Print_Titles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김용태/전문역량개발팀/KAJAYT</dc:creator>
  <cp:lastModifiedBy>안상율/전문역량개발팀/SYAHN02</cp:lastModifiedBy>
  <cp:lastPrinted>2025-08-12T01:56:42Z</cp:lastPrinted>
  <dcterms:created xsi:type="dcterms:W3CDTF">2024-09-25T06:15:36Z</dcterms:created>
  <dcterms:modified xsi:type="dcterms:W3CDTF">2026-04-09T02:55:27Z</dcterms:modified>
</cp:coreProperties>
</file>